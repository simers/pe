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BITDA Bridge" sheetId="3" state="visible" r:id="rId3"/>
    <sheet xmlns:r="http://schemas.openxmlformats.org/officeDocument/2006/relationships" name="Income Statement" sheetId="4" state="visible" r:id="rId4"/>
    <sheet xmlns:r="http://schemas.openxmlformats.org/officeDocument/2006/relationships" name="Balance Sheet" sheetId="5" state="visible" r:id="rId5"/>
    <sheet xmlns:r="http://schemas.openxmlformats.org/officeDocument/2006/relationships" name="Sources &amp; Uses" sheetId="6" state="visible" r:id="rId6"/>
    <sheet xmlns:r="http://schemas.openxmlformats.org/officeDocument/2006/relationships" name="Debt Schedule" sheetId="7" state="visible" r:id="rId7"/>
    <sheet xmlns:r="http://schemas.openxmlformats.org/officeDocument/2006/relationships" name="Retur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;($#,##0.0);&quot;-&quot;"/>
    <numFmt numFmtId="165" formatCode="0.0%;(0.0%);&quot;-&quot;"/>
    <numFmt numFmtId="166" formatCode="0.0&quot;x&quot;"/>
    <numFmt numFmtId="167" formatCode="0.00&quot;x&quot;"/>
  </numFmts>
  <fonts count="20">
    <font>
      <name val="Calibri"/>
      <family val="2"/>
      <color theme="1"/>
      <sz val="11"/>
      <scheme val="minor"/>
    </font>
    <font>
      <name val="Arial"/>
      <b val="1"/>
      <color rgb="001D6F5C"/>
      <sz val="20"/>
    </font>
    <font>
      <name val="Arial"/>
      <i val="1"/>
      <color rgb="00000000"/>
      <sz val="12"/>
    </font>
    <font>
      <name val="Arial"/>
      <i val="1"/>
      <color rgb="00808080"/>
      <sz val="9"/>
    </font>
    <font>
      <name val="Arial"/>
      <color rgb="00000000"/>
      <sz val="10"/>
    </font>
    <font>
      <name val="Arial"/>
      <b val="1"/>
      <color rgb="001D6F5C"/>
      <sz val="11"/>
    </font>
    <font>
      <name val="Arial"/>
      <b val="1"/>
      <color rgb="000000FF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i val="1"/>
      <color rgb="00808080"/>
      <sz val="8"/>
    </font>
    <font>
      <name val="Arial"/>
      <b val="1"/>
      <color rgb="00FFFFFF"/>
      <sz val="14"/>
    </font>
    <font>
      <name val="Arial"/>
      <color rgb="000000FF"/>
      <sz val="10"/>
    </font>
    <font>
      <name val="Arial"/>
      <i val="1"/>
      <color rgb="00000000"/>
      <sz val="10"/>
    </font>
    <font>
      <name val="Arial"/>
      <i val="1"/>
      <color rgb="00000000"/>
      <sz val="9"/>
    </font>
    <font>
      <name val="Arial"/>
      <i val="1"/>
      <color rgb="00008000"/>
      <sz val="9"/>
    </font>
    <font>
      <name val="Arial"/>
      <b val="1"/>
      <i val="1"/>
      <color rgb="00000000"/>
      <sz val="10"/>
    </font>
    <font>
      <name val="Arial"/>
      <color rgb="00008000"/>
      <sz val="10"/>
    </font>
    <font>
      <name val="Arial"/>
      <color rgb="00808080"/>
      <sz val="10"/>
    </font>
    <font>
      <name val="Arial"/>
      <color rgb="00808080"/>
      <sz val="9"/>
    </font>
    <font>
      <name val="Arial"/>
      <b val="1"/>
      <i val="1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D6F5C"/>
      </patternFill>
    </fill>
    <fill>
      <patternFill patternType="solid">
        <fgColor rgb="00EFEFEF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top style="thin">
        <color rgb="00B0B0B0"/>
      </top>
    </border>
    <border>
      <top style="thin">
        <color rgb="00808080"/>
      </top>
      <bottom style="double">
        <color rgb="00808080"/>
      </bottom>
    </border>
    <border>
      <top style="thin">
        <color rgb="00808080"/>
      </top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9" fillId="0" borderId="0" applyAlignment="1" pivotButton="0" quotePrefix="0" xfId="0">
      <alignment vertical="top" wrapText="1"/>
    </xf>
    <xf numFmtId="0" fontId="10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165" fontId="4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5" fontId="11" fillId="2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" fontId="11" fillId="0" borderId="0" applyAlignment="1" pivotButton="0" quotePrefix="0" xfId="0">
      <alignment horizontal="center" vertical="center"/>
    </xf>
    <xf numFmtId="166" fontId="11" fillId="2" borderId="0" applyAlignment="1" pivotButton="0" quotePrefix="0" xfId="0">
      <alignment horizontal="center" vertical="center"/>
    </xf>
    <xf numFmtId="1" fontId="11" fillId="2" borderId="0" applyAlignment="1" pivotButton="0" quotePrefix="0" xfId="0">
      <alignment horizontal="center" vertical="center"/>
    </xf>
    <xf numFmtId="164" fontId="11" fillId="2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4" fontId="11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4" fontId="7" fillId="0" borderId="2" applyAlignment="1" pivotButton="0" quotePrefix="0" xfId="0">
      <alignment horizontal="right" vertical="center"/>
    </xf>
    <xf numFmtId="164" fontId="7" fillId="0" borderId="3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15" fillId="4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right" vertical="center"/>
    </xf>
    <xf numFmtId="164" fontId="16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0" fillId="0" borderId="2" pivotButton="0" quotePrefix="0" xfId="0"/>
    <xf numFmtId="0" fontId="4" fillId="4" borderId="0" applyAlignment="1" pivotButton="0" quotePrefix="0" xfId="0">
      <alignment vertical="center"/>
    </xf>
    <xf numFmtId="166" fontId="4" fillId="0" borderId="0" applyAlignment="1" pivotButton="0" quotePrefix="0" xfId="0">
      <alignment horizontal="right" vertical="center"/>
    </xf>
    <xf numFmtId="164" fontId="7" fillId="0" borderId="4" applyAlignment="1" pivotButton="0" quotePrefix="0" xfId="0">
      <alignment horizontal="right" vertical="center"/>
    </xf>
    <xf numFmtId="166" fontId="17" fillId="0" borderId="0" applyAlignment="1" pivotButton="0" quotePrefix="0" xfId="0">
      <alignment horizontal="right" vertical="center"/>
    </xf>
    <xf numFmtId="167" fontId="7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165" fontId="18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right" vertical="center"/>
    </xf>
    <xf numFmtId="166" fontId="6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center" vertical="center"/>
    </xf>
    <xf numFmtId="167" fontId="4" fillId="5" borderId="0" applyAlignment="1" pivotButton="0" quotePrefix="0" xfId="0">
      <alignment horizontal="center" vertical="center"/>
    </xf>
    <xf numFmtId="165" fontId="4" fillId="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F37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22" customWidth="1" min="3" max="3"/>
    <col width="22" customWidth="1" min="4" max="4"/>
    <col width="22" customWidth="1" min="5" max="5"/>
    <col width="20" customWidth="1" min="6" max="6"/>
    <col width="4" customWidth="1" min="7" max="7"/>
  </cols>
  <sheetData>
    <row r="2">
      <c r="B2" s="1" t="inlineStr">
        <is>
          <t>Cascade Components Corp.</t>
        </is>
      </c>
    </row>
    <row r="3">
      <c r="B3" s="2" t="inlineStr">
        <is>
          <t>LBO Operating Model  —  Middle-Market Case Study</t>
        </is>
      </c>
    </row>
    <row r="4">
      <c r="B4" s="3" t="inlineStr">
        <is>
          <t>Private Equity Course · Modules 4–5 · built one schedule at a time</t>
        </is>
      </c>
    </row>
    <row r="6">
      <c r="B6" s="4" t="inlineStr">
        <is>
          <t>Cascade Components designs and manufactures engineered fastening and sealing components for aerospace, defense, and industrial OEMs. Founded 1994; family-owned; the founder-CEO is retiring and running a sale process. A classic middle-market LBO target: a stable niche business with real assets, recurring OEM relationships, and room for a buy-and-build roll-up.</t>
        </is>
      </c>
    </row>
    <row r="7"/>
    <row r="8"/>
    <row r="9"/>
    <row r="11">
      <c r="B11" s="5" t="inlineStr">
        <is>
          <t>How to read this model</t>
        </is>
      </c>
    </row>
    <row r="12">
      <c r="B12" s="6" t="inlineStr">
        <is>
          <t>■  Blue text</t>
        </is>
      </c>
      <c r="C12" s="7" t="inlineStr">
        <is>
          <t>Hardcoded input / assumption — the levers you edit</t>
        </is>
      </c>
    </row>
    <row r="13">
      <c r="B13" s="8" t="inlineStr">
        <is>
          <t>■  Black text</t>
        </is>
      </c>
      <c r="C13" s="7" t="inlineStr">
        <is>
          <t>Formula / calculation — do not overwrite</t>
        </is>
      </c>
    </row>
    <row r="14">
      <c r="B14" s="9" t="inlineStr">
        <is>
          <t>■  Green text</t>
        </is>
      </c>
      <c r="C14" s="7" t="inlineStr">
        <is>
          <t>Link pulled from another sheet</t>
        </is>
      </c>
    </row>
    <row r="15">
      <c r="B15" s="10" t="inlineStr">
        <is>
          <t>■  Yellow fill</t>
        </is>
      </c>
      <c r="C15" s="7" t="inlineStr">
        <is>
          <t>Key assumption to set (also blue text)</t>
        </is>
      </c>
    </row>
    <row r="17">
      <c r="B17" s="5" t="inlineStr">
        <is>
          <t>Units &amp; conventions</t>
        </is>
      </c>
    </row>
    <row r="18">
      <c r="B18" s="7" t="inlineStr">
        <is>
          <t>•  All figures in $ millions unless noted; one decimal place.</t>
        </is>
      </c>
    </row>
    <row r="19">
      <c r="B19" s="7" t="inlineStr">
        <is>
          <t>•  Percentages are stored as fractions (0.181 renders 18.1%).</t>
        </is>
      </c>
    </row>
    <row r="20">
      <c r="B20" s="7" t="inlineStr">
        <is>
          <t>•  Valuation multiples shown as 0.0x. Years are text labels.</t>
        </is>
      </c>
    </row>
    <row r="21">
      <c r="B21" s="7" t="inlineStr">
        <is>
          <t>•  Illustrative case study — figures are realistic but not a real company.</t>
        </is>
      </c>
    </row>
    <row r="24">
      <c r="B24" s="5" t="inlineStr">
        <is>
          <t>Tabs</t>
        </is>
      </c>
    </row>
    <row r="25">
      <c r="B25" s="8" t="inlineStr">
        <is>
          <t>Cover</t>
        </is>
      </c>
      <c r="C25" s="7" t="inlineStr">
        <is>
          <t>This page — company, legend, conventions</t>
        </is>
      </c>
    </row>
    <row r="26">
      <c r="B26" s="8" t="inlineStr">
        <is>
          <t>Assumptions</t>
        </is>
      </c>
      <c r="C26" s="7" t="inlineStr">
        <is>
          <t>All operating &amp; transaction drivers (Module 4–5)</t>
        </is>
      </c>
    </row>
    <row r="27">
      <c r="B27" s="8" t="inlineStr">
        <is>
          <t>EBITDA Bridge</t>
        </is>
      </c>
      <c r="C27" s="7" t="inlineStr">
        <is>
          <t>Reported → Adjusted EBITDA reconciliation (Module 3/4)</t>
        </is>
      </c>
    </row>
    <row r="28">
      <c r="B28" s="8" t="inlineStr">
        <is>
          <t>Income Statement</t>
        </is>
      </c>
      <c r="C28" s="7" t="inlineStr">
        <is>
          <t>Historical + projected P&amp;L → EBITDA/EBIT (Module 4)</t>
        </is>
      </c>
    </row>
    <row r="29">
      <c r="B29" s="8" t="inlineStr">
        <is>
          <t>Balance Sheet</t>
        </is>
      </c>
      <c r="C29" s="7" t="inlineStr">
        <is>
          <t>Working capital (DSO/DIO/DPO) + PP&amp;E roll-forward (Module 4)</t>
        </is>
      </c>
    </row>
    <row r="30">
      <c r="B30" s="8" t="inlineStr">
        <is>
          <t>Sources &amp; Uses</t>
        </is>
      </c>
      <c r="C30" s="7" t="inlineStr">
        <is>
          <t>How the deal is funded at close (Module 5)</t>
        </is>
      </c>
    </row>
    <row r="31">
      <c r="B31" s="8" t="inlineStr">
        <is>
          <t>Debt Schedule</t>
        </is>
      </c>
      <c r="C31" s="7" t="inlineStr">
        <is>
          <t>Cash-flow sweep + debt roll-forward; interest → P&amp;L (Module 5)</t>
        </is>
      </c>
    </row>
    <row r="32">
      <c r="B32" s="8" t="inlineStr">
        <is>
          <t>Returns</t>
        </is>
      </c>
      <c r="C32" s="7" t="inlineStr">
        <is>
          <t>Exit value, MOIC / IRR, value bridge &amp; sensitivities (Module 5)</t>
        </is>
      </c>
    </row>
    <row r="35">
      <c r="B35" s="11" t="inlineStr">
        <is>
          <t>Course structure follows the Wharton Online &amp; Wall Street Prep PE Certificate syllabus. Independent study aid generated by Claude (Anthropic); directed and reviewed by Simer Sawhney, Co-founder, Voatz Inc. Educational use only — not investment advice; illustrative figures.  v1.0 · August 2026</t>
        </is>
      </c>
    </row>
    <row r="36"/>
    <row r="37"/>
  </sheetData>
  <mergeCells count="18">
    <mergeCell ref="C13:F13"/>
    <mergeCell ref="B21:F21"/>
    <mergeCell ref="C31:F31"/>
    <mergeCell ref="C32:F32"/>
    <mergeCell ref="B35:F37"/>
    <mergeCell ref="B20:F20"/>
    <mergeCell ref="C26:F26"/>
    <mergeCell ref="C12:F12"/>
    <mergeCell ref="B6:F9"/>
    <mergeCell ref="B19:F19"/>
    <mergeCell ref="C29:F29"/>
    <mergeCell ref="C30:F30"/>
    <mergeCell ref="C15:F15"/>
    <mergeCell ref="C25:F25"/>
    <mergeCell ref="C28:F28"/>
    <mergeCell ref="C27:F27"/>
    <mergeCell ref="B18:F18"/>
    <mergeCell ref="C14:F1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30" customWidth="1" min="8" max="8"/>
  </cols>
  <sheetData>
    <row r="1" ht="22" customHeight="1">
      <c r="A1" s="12" t="inlineStr">
        <is>
          <t>Cascade Components — Model Assumptions</t>
        </is>
      </c>
    </row>
    <row r="3">
      <c r="A3" s="13" t="inlineStr">
        <is>
          <t>HISTORICAL FINANCIALS  ($mm)</t>
        </is>
      </c>
      <c r="B3" s="13" t="n"/>
      <c r="C3" s="13" t="n"/>
      <c r="D3" s="13" t="n"/>
      <c r="E3" s="13" t="n"/>
      <c r="F3" s="13" t="n"/>
      <c r="G3" s="13" t="n"/>
      <c r="H3" s="13" t="n"/>
    </row>
    <row r="4">
      <c r="A4" s="14" t="inlineStr"/>
      <c r="B4" s="15" t="inlineStr">
        <is>
          <t>FY2023</t>
        </is>
      </c>
      <c r="C4" s="15" t="inlineStr">
        <is>
          <t>FY2024</t>
        </is>
      </c>
      <c r="D4" s="15" t="inlineStr">
        <is>
          <t>FY2025</t>
        </is>
      </c>
      <c r="E4" s="14" t="inlineStr"/>
      <c r="F4" s="14" t="inlineStr"/>
      <c r="G4" s="14" t="inlineStr"/>
      <c r="H4" s="14" t="inlineStr">
        <is>
          <t>Notes / source</t>
        </is>
      </c>
    </row>
    <row r="5">
      <c r="A5" s="8" t="inlineStr">
        <is>
          <t>Revenue</t>
        </is>
      </c>
      <c r="B5" s="16" t="n">
        <v>289</v>
      </c>
      <c r="C5" s="16" t="n">
        <v>303.5</v>
      </c>
      <c r="D5" s="16" t="n">
        <v>320</v>
      </c>
      <c r="H5" s="3" t="inlineStr">
        <is>
          <t>Company financials (illustrative)</t>
        </is>
      </c>
    </row>
    <row r="6">
      <c r="A6" s="7" t="inlineStr">
        <is>
          <t xml:space="preserve">  Cost of goods sold</t>
        </is>
      </c>
      <c r="B6" s="16" t="n">
        <v>-189</v>
      </c>
      <c r="C6" s="16" t="n">
        <v>-198.3</v>
      </c>
      <c r="D6" s="16" t="n">
        <v>-208</v>
      </c>
      <c r="H6" s="3" t="inlineStr">
        <is>
          <t>≈ 65% of revenue</t>
        </is>
      </c>
    </row>
    <row r="7">
      <c r="A7" s="8" t="inlineStr">
        <is>
          <t>Gross profit</t>
        </is>
      </c>
      <c r="B7" s="17">
        <f>B5+B6</f>
        <v/>
      </c>
      <c r="C7" s="17">
        <f>C5+C6</f>
        <v/>
      </c>
      <c r="D7" s="17">
        <f>D5+D6</f>
        <v/>
      </c>
      <c r="H7" s="3" t="inlineStr">
        <is>
          <t>Revenue − COGS (formula)</t>
        </is>
      </c>
    </row>
    <row r="8">
      <c r="A8" s="18" t="inlineStr">
        <is>
          <t xml:space="preserve">  Gross margin %</t>
        </is>
      </c>
      <c r="B8" s="19">
        <f>B7/B5</f>
        <v/>
      </c>
      <c r="C8" s="19">
        <f>C7/C5</f>
        <v/>
      </c>
      <c r="D8" s="19">
        <f>D7/D5</f>
        <v/>
      </c>
      <c r="H8" s="3" t="inlineStr">
        <is>
          <t>Gross profit ÷ Revenue</t>
        </is>
      </c>
    </row>
    <row r="9">
      <c r="A9" s="7" t="inlineStr">
        <is>
          <t xml:space="preserve">  SG&amp;A (excl. D&amp;A)</t>
        </is>
      </c>
      <c r="B9" s="16" t="n">
        <v>-49.5</v>
      </c>
      <c r="C9" s="16" t="n">
        <v>-51</v>
      </c>
      <c r="D9" s="16" t="n">
        <v>-54</v>
      </c>
      <c r="H9" s="3" t="inlineStr">
        <is>
          <t>operating overhead</t>
        </is>
      </c>
    </row>
    <row r="10">
      <c r="A10" s="8" t="inlineStr">
        <is>
          <t>Adjusted EBITDA</t>
        </is>
      </c>
      <c r="B10" s="20">
        <f>B7+B9</f>
        <v/>
      </c>
      <c r="C10" s="20">
        <f>C7+C9</f>
        <v/>
      </c>
      <c r="D10" s="20">
        <f>D7+D9</f>
        <v/>
      </c>
      <c r="H10" s="3" t="inlineStr">
        <is>
          <t>Gross profit + SG&amp;A; reconciled on EBITDA Bridge tab</t>
        </is>
      </c>
    </row>
    <row r="11">
      <c r="A11" s="18" t="inlineStr">
        <is>
          <t xml:space="preserve">  EBITDA margin %</t>
        </is>
      </c>
      <c r="B11" s="19">
        <f>B10/B5</f>
        <v/>
      </c>
      <c r="C11" s="19">
        <f>C10/C5</f>
        <v/>
      </c>
      <c r="D11" s="19">
        <f>D10/D5</f>
        <v/>
      </c>
      <c r="H11" s="3" t="inlineStr">
        <is>
          <t>EBITDA ÷ Revenue</t>
        </is>
      </c>
    </row>
    <row r="12">
      <c r="A12" s="8" t="inlineStr">
        <is>
          <t>Depreciation &amp; amort.</t>
        </is>
      </c>
      <c r="B12" s="16" t="n">
        <v>9.5</v>
      </c>
      <c r="C12" s="16" t="n">
        <v>9.9</v>
      </c>
      <c r="D12" s="16" t="n">
        <v>10.4</v>
      </c>
      <c r="H12" s="3" t="inlineStr">
        <is>
          <t>≈ 3.3% of revenue</t>
        </is>
      </c>
    </row>
    <row r="13">
      <c r="A13" s="8" t="inlineStr">
        <is>
          <t>Capital expenditures</t>
        </is>
      </c>
      <c r="B13" s="16" t="n">
        <v>11.6</v>
      </c>
      <c r="C13" s="16" t="n">
        <v>12.1</v>
      </c>
      <c r="D13" s="16" t="n">
        <v>12.8</v>
      </c>
      <c r="H13" s="3" t="inlineStr">
        <is>
          <t>≈ 4% of revenue</t>
        </is>
      </c>
    </row>
    <row r="14">
      <c r="A14" s="18" t="inlineStr">
        <is>
          <t xml:space="preserve">  Revenue growth %</t>
        </is>
      </c>
      <c r="C14" s="19">
        <f>C5/B5-1</f>
        <v/>
      </c>
      <c r="D14" s="19">
        <f>D5/C5-1</f>
        <v/>
      </c>
    </row>
    <row r="16">
      <c r="A16" s="13" t="inlineStr">
        <is>
          <t>OPERATING ASSUMPTIONS  (projection drivers)</t>
        </is>
      </c>
      <c r="B16" s="13" t="n"/>
      <c r="C16" s="13" t="n"/>
      <c r="D16" s="13" t="n"/>
      <c r="E16" s="13" t="n"/>
      <c r="F16" s="13" t="n"/>
      <c r="G16" s="13" t="n"/>
      <c r="H16" s="13" t="n"/>
    </row>
    <row r="17">
      <c r="A17" s="14" t="inlineStr"/>
      <c r="B17" s="15" t="inlineStr">
        <is>
          <t>Year 1</t>
        </is>
      </c>
      <c r="C17" s="15" t="inlineStr">
        <is>
          <t>Year 2</t>
        </is>
      </c>
      <c r="D17" s="15" t="inlineStr">
        <is>
          <t>Year 3</t>
        </is>
      </c>
      <c r="E17" s="15" t="inlineStr">
        <is>
          <t>Year 4</t>
        </is>
      </c>
      <c r="F17" s="15" t="inlineStr">
        <is>
          <t>Year 5</t>
        </is>
      </c>
      <c r="G17" s="14" t="inlineStr"/>
      <c r="H17" s="14" t="inlineStr">
        <is>
          <t>Basis</t>
        </is>
      </c>
    </row>
    <row r="18">
      <c r="A18" s="7" t="inlineStr">
        <is>
          <t>Revenue growth %</t>
        </is>
      </c>
      <c r="B18" s="21" t="n">
        <v>0.055</v>
      </c>
      <c r="C18" s="21" t="n">
        <v>0.06</v>
      </c>
      <c r="D18" s="21" t="n">
        <v>0.06</v>
      </c>
      <c r="E18" s="21" t="n">
        <v>0.055</v>
      </c>
      <c r="F18" s="21" t="n">
        <v>0.05</v>
      </c>
      <c r="H18" s="3" t="inlineStr">
        <is>
          <t>organic; buy-and-build adds later</t>
        </is>
      </c>
    </row>
    <row r="19">
      <c r="A19" s="7" t="inlineStr">
        <is>
          <t>Gross margin %</t>
        </is>
      </c>
      <c r="B19" s="22" t="n">
        <v>0.35</v>
      </c>
      <c r="C19" s="22" t="n">
        <v>0.352</v>
      </c>
      <c r="D19" s="22" t="n">
        <v>0.354</v>
      </c>
      <c r="E19" s="22" t="n">
        <v>0.355</v>
      </c>
      <c r="F19" s="22" t="n">
        <v>0.355</v>
      </c>
      <c r="H19" s="3" t="inlineStr">
        <is>
          <t>modest mix/scale improvement</t>
        </is>
      </c>
    </row>
    <row r="20">
      <c r="A20" s="7" t="inlineStr">
        <is>
          <t>SG&amp;A % of revenue</t>
        </is>
      </c>
      <c r="B20" s="22" t="n">
        <v>0.168</v>
      </c>
      <c r="C20" s="22" t="n">
        <v>0.166</v>
      </c>
      <c r="D20" s="22" t="n">
        <v>0.164</v>
      </c>
      <c r="E20" s="22" t="n">
        <v>0.163</v>
      </c>
      <c r="F20" s="22" t="n">
        <v>0.162</v>
      </c>
      <c r="H20" s="3" t="inlineStr">
        <is>
          <t>operating leverage as it scales</t>
        </is>
      </c>
    </row>
    <row r="21">
      <c r="A21" s="7" t="inlineStr">
        <is>
          <t>PP&amp;E depreciation rate</t>
        </is>
      </c>
      <c r="B21" s="22" t="n">
        <v>0.12</v>
      </c>
      <c r="C21" s="22" t="n">
        <v>0.12</v>
      </c>
      <c r="D21" s="22" t="n">
        <v>0.12</v>
      </c>
      <c r="E21" s="22" t="n">
        <v>0.12</v>
      </c>
      <c r="F21" s="22" t="n">
        <v>0.12</v>
      </c>
      <c r="H21" s="3" t="inlineStr">
        <is>
          <t>straight-line on net PP&amp;E (~8-yr life)</t>
        </is>
      </c>
    </row>
    <row r="22">
      <c r="A22" s="7" t="inlineStr">
        <is>
          <t>Capex % of revenue</t>
        </is>
      </c>
      <c r="B22" s="22" t="n">
        <v>0.04</v>
      </c>
      <c r="C22" s="22" t="n">
        <v>0.04</v>
      </c>
      <c r="D22" s="22" t="n">
        <v>0.039</v>
      </c>
      <c r="E22" s="22" t="n">
        <v>0.038</v>
      </c>
      <c r="F22" s="22" t="n">
        <v>0.038</v>
      </c>
      <c r="H22" s="3" t="inlineStr">
        <is>
          <t>maintenance + modest growth</t>
        </is>
      </c>
    </row>
    <row r="23">
      <c r="A23" s="7" t="inlineStr">
        <is>
          <t>Tax rate</t>
        </is>
      </c>
      <c r="B23" s="22" t="n">
        <v>0.25</v>
      </c>
      <c r="C23" s="22" t="n">
        <v>0.25</v>
      </c>
      <c r="D23" s="22" t="n">
        <v>0.25</v>
      </c>
      <c r="E23" s="22" t="n">
        <v>0.25</v>
      </c>
      <c r="F23" s="22" t="n">
        <v>0.25</v>
      </c>
      <c r="H23" s="3" t="inlineStr">
        <is>
          <t>blended federal + state</t>
        </is>
      </c>
    </row>
    <row r="25">
      <c r="A25" s="13" t="inlineStr">
        <is>
          <t>WORKING CAPITAL &amp; PP&amp;E ASSUMPTIONS</t>
        </is>
      </c>
      <c r="B25" s="13" t="n"/>
      <c r="C25" s="13" t="n"/>
      <c r="D25" s="13" t="n"/>
      <c r="E25" s="13" t="n"/>
      <c r="F25" s="13" t="n"/>
      <c r="G25" s="13" t="n"/>
      <c r="H25" s="13" t="n"/>
    </row>
    <row r="26">
      <c r="A26" s="14" t="inlineStr"/>
      <c r="B26" s="15" t="inlineStr">
        <is>
          <t>Value</t>
        </is>
      </c>
      <c r="C26" s="14" t="inlineStr"/>
      <c r="D26" s="14" t="inlineStr"/>
      <c r="E26" s="14" t="inlineStr"/>
      <c r="F26" s="14" t="inlineStr"/>
      <c r="G26" s="14" t="inlineStr"/>
      <c r="H26" s="14" t="inlineStr">
        <is>
          <t>Drives</t>
        </is>
      </c>
    </row>
    <row r="27">
      <c r="A27" s="7" t="inlineStr">
        <is>
          <t>DSO — days sales outstanding</t>
        </is>
      </c>
      <c r="B27" s="23" t="n">
        <v>55</v>
      </c>
      <c r="H27" s="3" t="inlineStr">
        <is>
          <t>accounts receivable</t>
        </is>
      </c>
    </row>
    <row r="28">
      <c r="A28" s="7" t="inlineStr">
        <is>
          <t>DIO — days inventory outstanding</t>
        </is>
      </c>
      <c r="B28" s="23" t="n">
        <v>85</v>
      </c>
      <c r="H28" s="3" t="inlineStr">
        <is>
          <t>inventory (manufacturer -&gt; high)</t>
        </is>
      </c>
    </row>
    <row r="29">
      <c r="A29" s="7" t="inlineStr">
        <is>
          <t>DPO — days payables outstanding</t>
        </is>
      </c>
      <c r="B29" s="23" t="n">
        <v>45</v>
      </c>
      <c r="H29" s="3" t="inlineStr">
        <is>
          <t>accounts payable</t>
        </is>
      </c>
    </row>
    <row r="30">
      <c r="A30" s="7" t="inlineStr">
        <is>
          <t>Opening net PP&amp;E, end-FY2025 ($mm)</t>
        </is>
      </c>
      <c r="B30" s="16" t="n">
        <v>85</v>
      </c>
      <c r="H30" s="3" t="inlineStr">
        <is>
          <t>PP&amp;E roll-forward base</t>
        </is>
      </c>
    </row>
    <row r="32">
      <c r="A32" s="13" t="inlineStr">
        <is>
          <t>TRANSACTION ASSUMPTIONS  (entry structure)</t>
        </is>
      </c>
      <c r="B32" s="13" t="n"/>
      <c r="C32" s="13" t="n"/>
      <c r="D32" s="13" t="n"/>
      <c r="E32" s="13" t="n"/>
      <c r="F32" s="13" t="n"/>
      <c r="G32" s="13" t="n"/>
      <c r="H32" s="13" t="n"/>
    </row>
    <row r="33">
      <c r="A33" s="7" t="inlineStr">
        <is>
          <t>Entry EV / LTM EBITDA multiple</t>
        </is>
      </c>
      <c r="B33" s="24" t="n">
        <v>9</v>
      </c>
      <c r="H33" s="3" t="inlineStr">
        <is>
          <t>purchase-price multiple</t>
        </is>
      </c>
    </row>
    <row r="34">
      <c r="A34" s="7" t="inlineStr">
        <is>
          <t>Net debt / EBITDA (leverage)</t>
        </is>
      </c>
      <c r="B34" s="24" t="n">
        <v>5</v>
      </c>
      <c r="H34" s="3" t="inlineStr">
        <is>
          <t>turns of new debt at close</t>
        </is>
      </c>
    </row>
    <row r="35">
      <c r="A35" s="7" t="inlineStr">
        <is>
          <t>Blended cost of debt</t>
        </is>
      </c>
      <c r="B35" s="21" t="n">
        <v>0.08500000000000001</v>
      </c>
      <c r="H35" s="3" t="inlineStr">
        <is>
          <t>≈ SOFR 3.6% + ~490 bps blended</t>
        </is>
      </c>
    </row>
    <row r="36">
      <c r="A36" s="7" t="inlineStr">
        <is>
          <t>Exit EV / EBITDA multiple</t>
        </is>
      </c>
      <c r="B36" s="24" t="n">
        <v>9</v>
      </c>
      <c r="H36" s="3" t="inlineStr">
        <is>
          <t>exit = entry (no multiple expansion assumed)</t>
        </is>
      </c>
    </row>
    <row r="37">
      <c r="A37" s="7" t="inlineStr">
        <is>
          <t>Hold period (years)</t>
        </is>
      </c>
      <c r="B37" s="25" t="n">
        <v>5</v>
      </c>
      <c r="H37" s="3" t="inlineStr">
        <is>
          <t>years to exit</t>
        </is>
      </c>
    </row>
    <row r="38">
      <c r="A38" s="7" t="inlineStr">
        <is>
          <t>Transaction fees (% of EV)</t>
        </is>
      </c>
      <c r="B38" s="21" t="n">
        <v>0.025</v>
      </c>
      <c r="H38" s="3" t="inlineStr">
        <is>
          <t>advisory / legal / diligence</t>
        </is>
      </c>
    </row>
    <row r="39">
      <c r="A39" s="7" t="inlineStr">
        <is>
          <t>Financing fees (% of new debt)</t>
        </is>
      </c>
      <c r="B39" s="21" t="n">
        <v>0.02</v>
      </c>
      <c r="H39" s="3" t="inlineStr">
        <is>
          <t>arrangement / OID</t>
        </is>
      </c>
    </row>
    <row r="40">
      <c r="A40" s="7" t="inlineStr">
        <is>
          <t>Management rollover ($mm)</t>
        </is>
      </c>
      <c r="B40" s="26" t="n">
        <v>12</v>
      </c>
      <c r="H40" s="3" t="inlineStr">
        <is>
          <t>mgmt equity rolled into newco</t>
        </is>
      </c>
    </row>
  </sheetData>
  <mergeCells count="1">
    <mergeCell ref="A1:H1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8" customWidth="1" min="5" max="5"/>
    <col width="28" customWidth="1" min="6" max="6"/>
  </cols>
  <sheetData>
    <row r="1" ht="22" customHeight="1">
      <c r="A1" s="12" t="inlineStr">
        <is>
          <t>Cascade Components — EBITDA Bridge  ($mm)</t>
        </is>
      </c>
    </row>
    <row r="2">
      <c r="A2" s="3" t="inlineStr">
        <is>
          <t>Reported → Adjusted EBITDA. Each add-back is tagged by where it sits on the P&amp;L and how defensible it is (Module 3 spectrum).</t>
        </is>
      </c>
    </row>
    <row r="4">
      <c r="A4" s="27" t="inlineStr">
        <is>
          <t>$mm</t>
        </is>
      </c>
      <c r="B4" s="28" t="inlineStr">
        <is>
          <t>FY2023</t>
        </is>
      </c>
      <c r="C4" s="28" t="inlineStr">
        <is>
          <t>FY2024</t>
        </is>
      </c>
      <c r="D4" s="28" t="inlineStr">
        <is>
          <t>FY2025</t>
        </is>
      </c>
      <c r="E4" s="27" t="inlineStr">
        <is>
          <t>Where on P&amp;L</t>
        </is>
      </c>
      <c r="F4" s="27" t="inlineStr">
        <is>
          <t>Defensibility</t>
        </is>
      </c>
    </row>
    <row r="5">
      <c r="A5" s="8" t="inlineStr">
        <is>
          <t>Reported EBITDA</t>
        </is>
      </c>
      <c r="B5" s="29" t="n">
        <v>47.5</v>
      </c>
      <c r="C5" s="29" t="n">
        <v>51</v>
      </c>
      <c r="D5" s="29" t="n">
        <v>54</v>
      </c>
    </row>
    <row r="6">
      <c r="A6" s="7" t="inlineStr">
        <is>
          <t xml:space="preserve">  Owner-comp normalization</t>
        </is>
      </c>
      <c r="B6" s="29" t="n">
        <v>1.8</v>
      </c>
      <c r="C6" s="29" t="n">
        <v>2</v>
      </c>
      <c r="D6" s="29" t="n">
        <v>2.5</v>
      </c>
      <c r="E6" s="30" t="inlineStr">
        <is>
          <t>SG&amp;A</t>
        </is>
      </c>
      <c r="F6" s="30" t="inlineStr">
        <is>
          <t>High — clean, quantifiable</t>
        </is>
      </c>
    </row>
    <row r="7">
      <c r="A7" s="7" t="inlineStr">
        <is>
          <t xml:space="preserve">  Facility relocation (one-time)</t>
        </is>
      </c>
      <c r="B7" s="29" t="n">
        <v>0</v>
      </c>
      <c r="C7" s="29" t="n">
        <v>0</v>
      </c>
      <c r="D7" s="29" t="n">
        <v>1.2</v>
      </c>
      <c r="E7" s="30" t="inlineStr">
        <is>
          <t>COGS + SG&amp;A</t>
        </is>
      </c>
      <c r="F7" s="30" t="inlineStr">
        <is>
          <t>Medium — verify truly one-time</t>
        </is>
      </c>
    </row>
    <row r="8">
      <c r="A8" s="7" t="inlineStr">
        <is>
          <t xml:space="preserve">  Transaction &amp; legal (non-recur.)</t>
        </is>
      </c>
      <c r="B8" s="29" t="n">
        <v>0.8</v>
      </c>
      <c r="C8" s="29" t="n">
        <v>0.7</v>
      </c>
      <c r="D8" s="29" t="n">
        <v>0.3</v>
      </c>
      <c r="E8" s="30" t="inlineStr">
        <is>
          <t>SG&amp;A</t>
        </is>
      </c>
      <c r="F8" s="30" t="inlineStr">
        <is>
          <t>Medium — confirm non-operating</t>
        </is>
      </c>
    </row>
    <row r="9">
      <c r="A9" s="7" t="inlineStr">
        <is>
          <t xml:space="preserve">  Inventory write-down (non-recur.)</t>
        </is>
      </c>
      <c r="B9" s="29" t="n">
        <v>0.4</v>
      </c>
      <c r="C9" s="29" t="n">
        <v>0.5</v>
      </c>
      <c r="D9" s="29" t="n">
        <v>0</v>
      </c>
      <c r="E9" s="30" t="inlineStr">
        <is>
          <t>COGS</t>
        </is>
      </c>
      <c r="F9" s="30" t="inlineStr">
        <is>
          <t>Medium — check whether it recurs</t>
        </is>
      </c>
    </row>
    <row r="10">
      <c r="A10" s="8" t="inlineStr">
        <is>
          <t>Total add-backs</t>
        </is>
      </c>
      <c r="B10" s="31">
        <f>SUM(B6:B9)</f>
        <v/>
      </c>
      <c r="C10" s="31">
        <f>SUM(C6:C9)</f>
        <v/>
      </c>
      <c r="D10" s="31">
        <f>SUM(D6:D9)</f>
        <v/>
      </c>
    </row>
    <row r="11">
      <c r="A11" s="8" t="inlineStr">
        <is>
          <t>Adjusted EBITDA</t>
        </is>
      </c>
      <c r="B11" s="32">
        <f>B5+B10</f>
        <v/>
      </c>
      <c r="C11" s="32">
        <f>C5+C10</f>
        <v/>
      </c>
      <c r="D11" s="32">
        <f>D5+D10</f>
        <v/>
      </c>
    </row>
    <row r="12">
      <c r="A12" s="18" t="inlineStr">
        <is>
          <t xml:space="preserve">  Adjusted EBITDA margin %</t>
        </is>
      </c>
      <c r="B12" s="33">
        <f>B11/Assumptions!B5</f>
        <v/>
      </c>
      <c r="C12" s="33">
        <f>C11/Assumptions!C5</f>
        <v/>
      </c>
      <c r="D12" s="33">
        <f>D11/Assumptions!D5</f>
        <v/>
      </c>
    </row>
    <row r="13">
      <c r="A13" s="18" t="inlineStr">
        <is>
          <t xml:space="preserve">  Uplift over reported %</t>
        </is>
      </c>
      <c r="B13" s="33">
        <f>B11/B5-1</f>
        <v/>
      </c>
      <c r="C13" s="33">
        <f>C11/C5-1</f>
        <v/>
      </c>
      <c r="D13" s="33">
        <f>D11/D5-1</f>
        <v/>
      </c>
    </row>
    <row r="15">
      <c r="A15" s="8" t="inlineStr">
        <is>
          <t>Check: Adjusted EBITDA − operating model</t>
        </is>
      </c>
      <c r="B15" s="34">
        <f>B11-Assumptions!B10</f>
        <v/>
      </c>
      <c r="C15" s="34">
        <f>C11-Assumptions!C10</f>
        <v/>
      </c>
      <c r="D15" s="34">
        <f>D11-Assumptions!D10</f>
        <v/>
      </c>
      <c r="E15" s="35" t="inlineStr">
        <is>
          <t>zero confirms the tie ✓</t>
        </is>
      </c>
    </row>
    <row r="17">
      <c r="A17" s="36" t="inlineStr">
        <is>
          <t>Defensibility (Module 3): High add-backs survive diligence; Medium ones need support; serial ‘one-offs’ and run-rate/pro-forma items are where buyers push back hardest.</t>
        </is>
      </c>
    </row>
    <row r="18"/>
  </sheetData>
  <mergeCells count="4">
    <mergeCell ref="E15:F15"/>
    <mergeCell ref="A2:F2"/>
    <mergeCell ref="A17:F18"/>
    <mergeCell ref="A1:F1"/>
  </mergeCells>
  <pageMargins left="0.3" right="0.3" top="0.4" bottom="0.4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2" customHeight="1">
      <c r="A1" s="12" t="inlineStr">
        <is>
          <t>Cascade Components — Income Statement  ($mm)</t>
        </is>
      </c>
    </row>
    <row r="3">
      <c r="B3" s="37" t="inlineStr">
        <is>
          <t>Actual</t>
        </is>
      </c>
      <c r="E3" s="37" t="inlineStr">
        <is>
          <t>Projected</t>
        </is>
      </c>
    </row>
    <row r="4">
      <c r="A4" s="27" t="inlineStr">
        <is>
          <t>$mm</t>
        </is>
      </c>
      <c r="B4" s="28" t="inlineStr">
        <is>
          <t>FY2023</t>
        </is>
      </c>
      <c r="C4" s="28" t="inlineStr">
        <is>
          <t>FY2024</t>
        </is>
      </c>
      <c r="D4" s="28" t="inlineStr">
        <is>
          <t>FY2025</t>
        </is>
      </c>
      <c r="E4" s="28" t="inlineStr">
        <is>
          <t>Year 1</t>
        </is>
      </c>
      <c r="F4" s="28" t="inlineStr">
        <is>
          <t>Year 2</t>
        </is>
      </c>
      <c r="G4" s="28" t="inlineStr">
        <is>
          <t>Year 3</t>
        </is>
      </c>
      <c r="H4" s="28" t="inlineStr">
        <is>
          <t>Year 4</t>
        </is>
      </c>
      <c r="I4" s="28" t="inlineStr">
        <is>
          <t>Year 5</t>
        </is>
      </c>
    </row>
    <row r="5">
      <c r="A5" s="8" t="inlineStr">
        <is>
          <t>Revenue</t>
        </is>
      </c>
      <c r="B5" s="38">
        <f>Assumptions!B5</f>
        <v/>
      </c>
      <c r="C5" s="38">
        <f>Assumptions!C5</f>
        <v/>
      </c>
      <c r="D5" s="38">
        <f>Assumptions!D5</f>
        <v/>
      </c>
      <c r="E5" s="34">
        <f>D5*(1+Assumptions!B18)</f>
        <v/>
      </c>
      <c r="F5" s="34">
        <f>E5*(1+Assumptions!C18)</f>
        <v/>
      </c>
      <c r="G5" s="34">
        <f>F5*(1+Assumptions!D18)</f>
        <v/>
      </c>
      <c r="H5" s="34">
        <f>G5*(1+Assumptions!E18)</f>
        <v/>
      </c>
      <c r="I5" s="34">
        <f>H5*(1+Assumptions!F18)</f>
        <v/>
      </c>
    </row>
    <row r="6">
      <c r="A6" s="7" t="inlineStr">
        <is>
          <t xml:space="preserve">  growth %</t>
        </is>
      </c>
      <c r="C6" s="33">
        <f>C5/B5-1</f>
        <v/>
      </c>
      <c r="D6" s="33">
        <f>D5/C5-1</f>
        <v/>
      </c>
      <c r="E6" s="33">
        <f>E5/D5-1</f>
        <v/>
      </c>
      <c r="F6" s="33">
        <f>F5/E5-1</f>
        <v/>
      </c>
      <c r="G6" s="33">
        <f>G5/F5-1</f>
        <v/>
      </c>
      <c r="H6" s="33">
        <f>H5/G5-1</f>
        <v/>
      </c>
      <c r="I6" s="33">
        <f>I5/H5-1</f>
        <v/>
      </c>
    </row>
    <row r="7">
      <c r="A7" s="7" t="inlineStr">
        <is>
          <t xml:space="preserve">  Cost of goods sold</t>
        </is>
      </c>
      <c r="B7" s="39">
        <f>Assumptions!B6</f>
        <v/>
      </c>
      <c r="C7" s="39">
        <f>Assumptions!C6</f>
        <v/>
      </c>
      <c r="D7" s="39">
        <f>Assumptions!D6</f>
        <v/>
      </c>
      <c r="E7" s="40">
        <f>-(E5*(1-Assumptions!B19))</f>
        <v/>
      </c>
      <c r="F7" s="40">
        <f>-(F5*(1-Assumptions!C19))</f>
        <v/>
      </c>
      <c r="G7" s="40">
        <f>-(G5*(1-Assumptions!D19))</f>
        <v/>
      </c>
      <c r="H7" s="40">
        <f>-(H5*(1-Assumptions!E19))</f>
        <v/>
      </c>
      <c r="I7" s="40">
        <f>-(I5*(1-Assumptions!F19))</f>
        <v/>
      </c>
    </row>
    <row r="8">
      <c r="A8" s="8" t="inlineStr">
        <is>
          <t>Gross profit</t>
        </is>
      </c>
      <c r="B8" s="31">
        <f>B5+B7</f>
        <v/>
      </c>
      <c r="C8" s="31">
        <f>C5+C7</f>
        <v/>
      </c>
      <c r="D8" s="31">
        <f>D5+D7</f>
        <v/>
      </c>
      <c r="E8" s="31">
        <f>E5+E7</f>
        <v/>
      </c>
      <c r="F8" s="31">
        <f>F5+F7</f>
        <v/>
      </c>
      <c r="G8" s="31">
        <f>G5+G7</f>
        <v/>
      </c>
      <c r="H8" s="31">
        <f>H5+H7</f>
        <v/>
      </c>
      <c r="I8" s="31">
        <f>I5+I7</f>
        <v/>
      </c>
    </row>
    <row r="9">
      <c r="A9" s="7" t="inlineStr">
        <is>
          <t xml:space="preserve">  gross margin %</t>
        </is>
      </c>
      <c r="B9" s="33">
        <f>B8/B5</f>
        <v/>
      </c>
      <c r="C9" s="33">
        <f>C8/C5</f>
        <v/>
      </c>
      <c r="D9" s="33">
        <f>D8/D5</f>
        <v/>
      </c>
      <c r="E9" s="33">
        <f>E8/E5</f>
        <v/>
      </c>
      <c r="F9" s="33">
        <f>F8/F5</f>
        <v/>
      </c>
      <c r="G9" s="33">
        <f>G8/G5</f>
        <v/>
      </c>
      <c r="H9" s="33">
        <f>H8/H5</f>
        <v/>
      </c>
      <c r="I9" s="33">
        <f>I8/I5</f>
        <v/>
      </c>
    </row>
    <row r="10">
      <c r="A10" s="7" t="inlineStr">
        <is>
          <t xml:space="preserve">  SG&amp;A (excl. D&amp;A)</t>
        </is>
      </c>
      <c r="B10" s="39">
        <f>Assumptions!B9</f>
        <v/>
      </c>
      <c r="C10" s="39">
        <f>Assumptions!C9</f>
        <v/>
      </c>
      <c r="D10" s="39">
        <f>Assumptions!D9</f>
        <v/>
      </c>
      <c r="E10" s="40">
        <f>-(E5*Assumptions!B20)</f>
        <v/>
      </c>
      <c r="F10" s="40">
        <f>-(F5*Assumptions!C20)</f>
        <v/>
      </c>
      <c r="G10" s="40">
        <f>-(G5*Assumptions!D20)</f>
        <v/>
      </c>
      <c r="H10" s="40">
        <f>-(H5*Assumptions!E20)</f>
        <v/>
      </c>
      <c r="I10" s="40">
        <f>-(I5*Assumptions!F20)</f>
        <v/>
      </c>
    </row>
    <row r="11">
      <c r="A11" s="8" t="inlineStr">
        <is>
          <t>EBITDA</t>
        </is>
      </c>
      <c r="B11" s="31">
        <f>B8+B10</f>
        <v/>
      </c>
      <c r="C11" s="31">
        <f>C8+C10</f>
        <v/>
      </c>
      <c r="D11" s="31">
        <f>D8+D10</f>
        <v/>
      </c>
      <c r="E11" s="31">
        <f>E8+E10</f>
        <v/>
      </c>
      <c r="F11" s="31">
        <f>F8+F10</f>
        <v/>
      </c>
      <c r="G11" s="31">
        <f>G8+G10</f>
        <v/>
      </c>
      <c r="H11" s="31">
        <f>H8+H10</f>
        <v/>
      </c>
      <c r="I11" s="31">
        <f>I8+I10</f>
        <v/>
      </c>
    </row>
    <row r="12">
      <c r="A12" s="7" t="inlineStr">
        <is>
          <t xml:space="preserve">  EBITDA margin %</t>
        </is>
      </c>
      <c r="B12" s="33">
        <f>B11/B5</f>
        <v/>
      </c>
      <c r="C12" s="33">
        <f>C11/C5</f>
        <v/>
      </c>
      <c r="D12" s="33">
        <f>D11/D5</f>
        <v/>
      </c>
      <c r="E12" s="33">
        <f>E11/E5</f>
        <v/>
      </c>
      <c r="F12" s="33">
        <f>F11/F5</f>
        <v/>
      </c>
      <c r="G12" s="33">
        <f>G11/G5</f>
        <v/>
      </c>
      <c r="H12" s="33">
        <f>H11/H5</f>
        <v/>
      </c>
      <c r="I12" s="33">
        <f>I11/I5</f>
        <v/>
      </c>
    </row>
    <row r="13">
      <c r="A13" s="7" t="inlineStr">
        <is>
          <t xml:space="preserve">  Depreciation &amp; amort.</t>
        </is>
      </c>
      <c r="B13" s="39">
        <f>-Assumptions!B12</f>
        <v/>
      </c>
      <c r="C13" s="39">
        <f>-Assumptions!C12</f>
        <v/>
      </c>
      <c r="D13" s="39">
        <f>-Assumptions!D12</f>
        <v/>
      </c>
      <c r="E13" s="40">
        <f>-'Balance Sheet'!C15</f>
        <v/>
      </c>
      <c r="F13" s="40">
        <f>-'Balance Sheet'!D15</f>
        <v/>
      </c>
      <c r="G13" s="40">
        <f>-'Balance Sheet'!E15</f>
        <v/>
      </c>
      <c r="H13" s="40">
        <f>-'Balance Sheet'!F15</f>
        <v/>
      </c>
      <c r="I13" s="40">
        <f>-'Balance Sheet'!G15</f>
        <v/>
      </c>
    </row>
    <row r="14">
      <c r="A14" s="8" t="inlineStr">
        <is>
          <t>EBIT</t>
        </is>
      </c>
      <c r="B14" s="31">
        <f>B11+B13</f>
        <v/>
      </c>
      <c r="C14" s="31">
        <f>C11+C13</f>
        <v/>
      </c>
      <c r="D14" s="31">
        <f>D11+D13</f>
        <v/>
      </c>
      <c r="E14" s="31">
        <f>E11+E13</f>
        <v/>
      </c>
      <c r="F14" s="31">
        <f>F11+F13</f>
        <v/>
      </c>
      <c r="G14" s="31">
        <f>G11+G13</f>
        <v/>
      </c>
      <c r="H14" s="31">
        <f>H11+H13</f>
        <v/>
      </c>
      <c r="I14" s="31">
        <f>I11+I13</f>
        <v/>
      </c>
    </row>
    <row r="15">
      <c r="A15" s="7" t="inlineStr">
        <is>
          <t xml:space="preserve">  EBIT margin %</t>
        </is>
      </c>
      <c r="B15" s="33">
        <f>B14/B5</f>
        <v/>
      </c>
      <c r="C15" s="33">
        <f>C14/C5</f>
        <v/>
      </c>
      <c r="D15" s="33">
        <f>D14/D5</f>
        <v/>
      </c>
      <c r="E15" s="33">
        <f>E14/E5</f>
        <v/>
      </c>
      <c r="F15" s="33">
        <f>F14/F5</f>
        <v/>
      </c>
      <c r="G15" s="33">
        <f>G14/G5</f>
        <v/>
      </c>
      <c r="H15" s="33">
        <f>H14/H5</f>
        <v/>
      </c>
      <c r="I15" s="33">
        <f>I14/I5</f>
        <v/>
      </c>
    </row>
    <row r="16">
      <c r="A16" s="7" t="inlineStr">
        <is>
          <t xml:space="preserve">  Interest expense</t>
        </is>
      </c>
      <c r="E16" s="40">
        <f>-'Debt Schedule'!C14</f>
        <v/>
      </c>
      <c r="F16" s="40">
        <f>-'Debt Schedule'!D14</f>
        <v/>
      </c>
      <c r="G16" s="40">
        <f>-'Debt Schedule'!E14</f>
        <v/>
      </c>
      <c r="H16" s="40">
        <f>-'Debt Schedule'!F14</f>
        <v/>
      </c>
      <c r="I16" s="40">
        <f>-'Debt Schedule'!G14</f>
        <v/>
      </c>
    </row>
    <row r="17">
      <c r="A17" s="8" t="inlineStr">
        <is>
          <t>Pre-tax income</t>
        </is>
      </c>
      <c r="B17" s="41" t="n"/>
      <c r="C17" s="41" t="n"/>
      <c r="D17" s="41" t="n"/>
      <c r="E17" s="31">
        <f>E14+E16</f>
        <v/>
      </c>
      <c r="F17" s="31">
        <f>F14+F16</f>
        <v/>
      </c>
      <c r="G17" s="31">
        <f>G14+G16</f>
        <v/>
      </c>
      <c r="H17" s="31">
        <f>H14+H16</f>
        <v/>
      </c>
      <c r="I17" s="31">
        <f>I14+I16</f>
        <v/>
      </c>
    </row>
    <row r="18">
      <c r="A18" s="7" t="inlineStr">
        <is>
          <t xml:space="preserve">  Taxes</t>
        </is>
      </c>
      <c r="E18" s="40">
        <f>-MAX(E17,0)*Assumptions!B23</f>
        <v/>
      </c>
      <c r="F18" s="40">
        <f>-MAX(F17,0)*Assumptions!C23</f>
        <v/>
      </c>
      <c r="G18" s="40">
        <f>-MAX(G17,0)*Assumptions!D23</f>
        <v/>
      </c>
      <c r="H18" s="40">
        <f>-MAX(H17,0)*Assumptions!E23</f>
        <v/>
      </c>
      <c r="I18" s="40">
        <f>-MAX(I17,0)*Assumptions!F23</f>
        <v/>
      </c>
    </row>
    <row r="19">
      <c r="A19" s="8" t="inlineStr">
        <is>
          <t>Net income</t>
        </is>
      </c>
      <c r="B19" s="41" t="n"/>
      <c r="C19" s="41" t="n"/>
      <c r="D19" s="41" t="n"/>
      <c r="E19" s="31">
        <f>E17+E18</f>
        <v/>
      </c>
      <c r="F19" s="31">
        <f>F17+F18</f>
        <v/>
      </c>
      <c r="G19" s="31">
        <f>G17+G18</f>
        <v/>
      </c>
      <c r="H19" s="31">
        <f>H17+H18</f>
        <v/>
      </c>
      <c r="I19" s="31">
        <f>I17+I18</f>
        <v/>
      </c>
    </row>
    <row r="20">
      <c r="A20" s="7" t="inlineStr">
        <is>
          <t xml:space="preserve">  net margin %</t>
        </is>
      </c>
      <c r="E20" s="33">
        <f>E19/E5</f>
        <v/>
      </c>
      <c r="F20" s="33">
        <f>F19/F5</f>
        <v/>
      </c>
      <c r="G20" s="33">
        <f>G19/G5</f>
        <v/>
      </c>
      <c r="H20" s="33">
        <f>H19/H5</f>
        <v/>
      </c>
      <c r="I20" s="33">
        <f>I19/I5</f>
        <v/>
      </c>
    </row>
    <row r="22">
      <c r="A22" s="3" t="inlineStr">
        <is>
          <t>Interest, taxes &amp; net income (projected years) come from the Debt Schedule; historical periods pre-date the LBO capital structure.</t>
        </is>
      </c>
    </row>
    <row r="23">
      <c r="A23" s="3" t="inlineStr">
        <is>
          <t>Convention: interest is charged on the beginning-of-year debt balance — the standard way to avoid a circular reference.</t>
        </is>
      </c>
    </row>
  </sheetData>
  <mergeCells count="5">
    <mergeCell ref="E3:I3"/>
    <mergeCell ref="B3:D3"/>
    <mergeCell ref="A1:I1"/>
    <mergeCell ref="A23:I23"/>
    <mergeCell ref="A22:I22"/>
  </mergeCells>
  <pageMargins left="0.3" right="0.3" top="0.4" bottom="0.4" header="0.5" footer="0.5"/>
  <pageSetup orientation="landscape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30" customWidth="1" min="8" max="8"/>
  </cols>
  <sheetData>
    <row r="1" ht="22" customHeight="1">
      <c r="A1" s="12" t="inlineStr">
        <is>
          <t>Cascade Components — Balance Sheet &amp; Working Capital  ($mm)</t>
        </is>
      </c>
    </row>
    <row r="2">
      <c r="A2" s="3" t="inlineStr">
        <is>
          <t>Operating (asset-side) balance sheet. Cash, debt, goodwill &amp; equity are completed in Module 5 with the LBO financing.</t>
        </is>
      </c>
    </row>
    <row r="4">
      <c r="A4" s="13" t="inlineStr">
        <is>
          <t>WORKING CAPITAL SCHEDULE  (driven by DSO / DIO / DPO)</t>
        </is>
      </c>
      <c r="B4" s="42" t="n"/>
      <c r="C4" s="42" t="n"/>
      <c r="D4" s="42" t="n"/>
      <c r="E4" s="42" t="n"/>
      <c r="F4" s="42" t="n"/>
      <c r="G4" s="42" t="n"/>
    </row>
    <row r="5">
      <c r="A5" s="27" t="inlineStr">
        <is>
          <t>$mm</t>
        </is>
      </c>
      <c r="B5" s="28" t="inlineStr">
        <is>
          <t>FY2025</t>
        </is>
      </c>
      <c r="C5" s="28" t="inlineStr">
        <is>
          <t>Year 1</t>
        </is>
      </c>
      <c r="D5" s="28" t="inlineStr">
        <is>
          <t>Year 2</t>
        </is>
      </c>
      <c r="E5" s="28" t="inlineStr">
        <is>
          <t>Year 3</t>
        </is>
      </c>
      <c r="F5" s="28" t="inlineStr">
        <is>
          <t>Year 4</t>
        </is>
      </c>
      <c r="G5" s="28" t="inlineStr">
        <is>
          <t>Year 5</t>
        </is>
      </c>
    </row>
    <row r="6">
      <c r="A6" s="7" t="inlineStr">
        <is>
          <t xml:space="preserve">  Accounts receivable  (DSO)</t>
        </is>
      </c>
      <c r="B6" s="40">
        <f>Assumptions!$B$27/365*'Income Statement'!D5</f>
        <v/>
      </c>
      <c r="C6" s="40">
        <f>Assumptions!$B$27/365*'Income Statement'!E5</f>
        <v/>
      </c>
      <c r="D6" s="40">
        <f>Assumptions!$B$27/365*'Income Statement'!F5</f>
        <v/>
      </c>
      <c r="E6" s="40">
        <f>Assumptions!$B$27/365*'Income Statement'!G5</f>
        <v/>
      </c>
      <c r="F6" s="40">
        <f>Assumptions!$B$27/365*'Income Statement'!H5</f>
        <v/>
      </c>
      <c r="G6" s="40">
        <f>Assumptions!$B$27/365*'Income Statement'!I5</f>
        <v/>
      </c>
    </row>
    <row r="7">
      <c r="A7" s="7" t="inlineStr">
        <is>
          <t xml:space="preserve">  Inventory  (DIO)</t>
        </is>
      </c>
      <c r="B7" s="40">
        <f>Assumptions!$B$28/365*(-'Income Statement'!D7)</f>
        <v/>
      </c>
      <c r="C7" s="40">
        <f>Assumptions!$B$28/365*(-'Income Statement'!E7)</f>
        <v/>
      </c>
      <c r="D7" s="40">
        <f>Assumptions!$B$28/365*(-'Income Statement'!F7)</f>
        <v/>
      </c>
      <c r="E7" s="40">
        <f>Assumptions!$B$28/365*(-'Income Statement'!G7)</f>
        <v/>
      </c>
      <c r="F7" s="40">
        <f>Assumptions!$B$28/365*(-'Income Statement'!H7)</f>
        <v/>
      </c>
      <c r="G7" s="40">
        <f>Assumptions!$B$28/365*(-'Income Statement'!I7)</f>
        <v/>
      </c>
    </row>
    <row r="8">
      <c r="A8" s="7" t="inlineStr">
        <is>
          <t xml:space="preserve">  Accounts payable  (DPO)</t>
        </is>
      </c>
      <c r="B8" s="40">
        <f>Assumptions!$B$29/365*(-'Income Statement'!D7)</f>
        <v/>
      </c>
      <c r="C8" s="40">
        <f>Assumptions!$B$29/365*(-'Income Statement'!E7)</f>
        <v/>
      </c>
      <c r="D8" s="40">
        <f>Assumptions!$B$29/365*(-'Income Statement'!F7)</f>
        <v/>
      </c>
      <c r="E8" s="40">
        <f>Assumptions!$B$29/365*(-'Income Statement'!G7)</f>
        <v/>
      </c>
      <c r="F8" s="40">
        <f>Assumptions!$B$29/365*(-'Income Statement'!H7)</f>
        <v/>
      </c>
      <c r="G8" s="40">
        <f>Assumptions!$B$29/365*(-'Income Statement'!I7)</f>
        <v/>
      </c>
    </row>
    <row r="9">
      <c r="A9" s="8" t="inlineStr">
        <is>
          <t>Net working capital</t>
        </is>
      </c>
      <c r="B9" s="31">
        <f>B6+B7-B8</f>
        <v/>
      </c>
      <c r="C9" s="31">
        <f>C6+C7-C8</f>
        <v/>
      </c>
      <c r="D9" s="31">
        <f>D6+D7-D8</f>
        <v/>
      </c>
      <c r="E9" s="31">
        <f>E6+E7-E8</f>
        <v/>
      </c>
      <c r="F9" s="31">
        <f>F6+F7-F8</f>
        <v/>
      </c>
      <c r="G9" s="31">
        <f>G6+G7-G8</f>
        <v/>
      </c>
    </row>
    <row r="10">
      <c r="A10" s="7" t="inlineStr">
        <is>
          <t xml:space="preserve">  (Increase)/decrease in NWC — cash</t>
        </is>
      </c>
      <c r="C10" s="40">
        <f>-(C9-B9)</f>
        <v/>
      </c>
      <c r="D10" s="40">
        <f>-(D9-C9)</f>
        <v/>
      </c>
      <c r="E10" s="40">
        <f>-(E9-D9)</f>
        <v/>
      </c>
      <c r="F10" s="40">
        <f>-(F9-E9)</f>
        <v/>
      </c>
      <c r="G10" s="40">
        <f>-(G9-F9)</f>
        <v/>
      </c>
    </row>
    <row r="12">
      <c r="A12" s="13" t="inlineStr">
        <is>
          <t>PP&amp;E ROLL-FORWARD  (D&amp;A now comes from the asset base)</t>
        </is>
      </c>
      <c r="B12" s="42" t="n"/>
      <c r="C12" s="42" t="n"/>
      <c r="D12" s="42" t="n"/>
      <c r="E12" s="42" t="n"/>
      <c r="F12" s="42" t="n"/>
      <c r="G12" s="42" t="n"/>
    </row>
    <row r="13">
      <c r="A13" s="7" t="inlineStr">
        <is>
          <t xml:space="preserve">  Beginning net PP&amp;E</t>
        </is>
      </c>
      <c r="C13" s="40">
        <f>Assumptions!$B$30</f>
        <v/>
      </c>
      <c r="D13" s="40">
        <f>C16</f>
        <v/>
      </c>
      <c r="E13" s="40">
        <f>D16</f>
        <v/>
      </c>
      <c r="F13" s="40">
        <f>E16</f>
        <v/>
      </c>
      <c r="G13" s="40">
        <f>F16</f>
        <v/>
      </c>
    </row>
    <row r="14">
      <c r="A14" s="7" t="inlineStr">
        <is>
          <t xml:space="preserve">  + Capital expenditures</t>
        </is>
      </c>
      <c r="C14" s="40">
        <f>Assumptions!B22*'Income Statement'!E5</f>
        <v/>
      </c>
      <c r="D14" s="40">
        <f>Assumptions!C22*'Income Statement'!F5</f>
        <v/>
      </c>
      <c r="E14" s="40">
        <f>Assumptions!D22*'Income Statement'!G5</f>
        <v/>
      </c>
      <c r="F14" s="40">
        <f>Assumptions!E22*'Income Statement'!H5</f>
        <v/>
      </c>
      <c r="G14" s="40">
        <f>Assumptions!F22*'Income Statement'!I5</f>
        <v/>
      </c>
    </row>
    <row r="15">
      <c r="A15" s="7" t="inlineStr">
        <is>
          <t xml:space="preserve">  − Depreciation</t>
        </is>
      </c>
      <c r="C15" s="40">
        <f>Assumptions!B21*C13</f>
        <v/>
      </c>
      <c r="D15" s="40">
        <f>Assumptions!C21*D13</f>
        <v/>
      </c>
      <c r="E15" s="40">
        <f>Assumptions!D21*E13</f>
        <v/>
      </c>
      <c r="F15" s="40">
        <f>Assumptions!E21*F13</f>
        <v/>
      </c>
      <c r="G15" s="40">
        <f>Assumptions!F21*G13</f>
        <v/>
      </c>
    </row>
    <row r="16">
      <c r="A16" s="8" t="inlineStr">
        <is>
          <t>Ending net PP&amp;E</t>
        </is>
      </c>
      <c r="B16" s="31">
        <f>Assumptions!$B$30</f>
        <v/>
      </c>
      <c r="C16" s="31">
        <f>C13+C14-C15</f>
        <v/>
      </c>
      <c r="D16" s="31">
        <f>D13+D14-D15</f>
        <v/>
      </c>
      <c r="E16" s="31">
        <f>E13+E14-E15</f>
        <v/>
      </c>
      <c r="F16" s="31">
        <f>F13+F14-F15</f>
        <v/>
      </c>
      <c r="G16" s="31">
        <f>G13+G14-G15</f>
        <v/>
      </c>
    </row>
    <row r="18">
      <c r="A18" s="13" t="inlineStr">
        <is>
          <t>OPERATING NET ASSETS  (invested capital, excl. cash / debt / goodwill)</t>
        </is>
      </c>
      <c r="B18" s="42" t="n"/>
      <c r="C18" s="42" t="n"/>
      <c r="D18" s="42" t="n"/>
      <c r="E18" s="42" t="n"/>
      <c r="F18" s="42" t="n"/>
      <c r="G18" s="42" t="n"/>
    </row>
    <row r="19">
      <c r="A19" s="7" t="inlineStr">
        <is>
          <t xml:space="preserve">  Net working capital</t>
        </is>
      </c>
      <c r="B19" s="40">
        <f>B9</f>
        <v/>
      </c>
      <c r="C19" s="40">
        <f>C9</f>
        <v/>
      </c>
      <c r="D19" s="40">
        <f>D9</f>
        <v/>
      </c>
      <c r="E19" s="40">
        <f>E9</f>
        <v/>
      </c>
      <c r="F19" s="40">
        <f>F9</f>
        <v/>
      </c>
      <c r="G19" s="40">
        <f>G9</f>
        <v/>
      </c>
    </row>
    <row r="20">
      <c r="A20" s="7" t="inlineStr">
        <is>
          <t xml:space="preserve">  Net PP&amp;E</t>
        </is>
      </c>
      <c r="B20" s="40">
        <f>B16</f>
        <v/>
      </c>
      <c r="C20" s="40">
        <f>C16</f>
        <v/>
      </c>
      <c r="D20" s="40">
        <f>D16</f>
        <v/>
      </c>
      <c r="E20" s="40">
        <f>E16</f>
        <v/>
      </c>
      <c r="F20" s="40">
        <f>F16</f>
        <v/>
      </c>
      <c r="G20" s="40">
        <f>G16</f>
        <v/>
      </c>
    </row>
    <row r="21">
      <c r="A21" s="8" t="inlineStr">
        <is>
          <t>Operating net assets</t>
        </is>
      </c>
      <c r="B21" s="31">
        <f>B19+B20</f>
        <v/>
      </c>
      <c r="C21" s="31">
        <f>C19+C20</f>
        <v/>
      </c>
      <c r="D21" s="31">
        <f>D19+D20</f>
        <v/>
      </c>
      <c r="E21" s="31">
        <f>E19+E20</f>
        <v/>
      </c>
      <c r="F21" s="31">
        <f>F19+F20</f>
        <v/>
      </c>
      <c r="G21" s="31">
        <f>G19+G20</f>
        <v/>
      </c>
    </row>
    <row r="23">
      <c r="A23" s="3" t="inlineStr">
        <is>
          <t>Growth eats cash: NWC rises every year, so the "(Increase)/decrease in NWC" line is a recurring cash outflow (row 10).</t>
        </is>
      </c>
    </row>
    <row r="24">
      <c r="A24" s="3" t="inlineStr">
        <is>
          <t>D&amp;A fix: Income-Statement depreciation now links to row 15 (rate × beginning PP&amp;E) — no longer a % of revenue.</t>
        </is>
      </c>
    </row>
  </sheetData>
  <mergeCells count="4">
    <mergeCell ref="A23:H23"/>
    <mergeCell ref="A24:H24"/>
    <mergeCell ref="A2:H2"/>
    <mergeCell ref="A1:G1"/>
  </mergeCells>
  <pageMargins left="0.3" right="0.3" top="0.4" bottom="0.4" header="0.5" footer="0.5"/>
  <pageSetup orientation="landscape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0" customWidth="1" min="3" max="3"/>
  </cols>
  <sheetData>
    <row r="1" ht="22" customHeight="1">
      <c r="A1" s="12" t="inlineStr">
        <is>
          <t>Cascade Components — Sources &amp; Uses  ($mm)</t>
        </is>
      </c>
    </row>
    <row r="2">
      <c r="A2" s="3" t="inlineStr">
        <is>
          <t>How the purchase is funded at close. Uses = what you pay for; Sources = where the money comes from. They must balance.</t>
        </is>
      </c>
    </row>
    <row r="4">
      <c r="A4" s="13" t="inlineStr">
        <is>
          <t>ENTRY</t>
        </is>
      </c>
      <c r="B4" s="42" t="n"/>
      <c r="C4" s="42" t="n"/>
    </row>
    <row r="5">
      <c r="A5" s="7" t="inlineStr">
        <is>
          <t xml:space="preserve">  LTM Adjusted EBITDA</t>
        </is>
      </c>
      <c r="B5" s="40">
        <f>Assumptions!$D$10</f>
        <v/>
      </c>
      <c r="C5" s="3" t="inlineStr">
        <is>
          <t>from EBITDA Bridge (FY2025)</t>
        </is>
      </c>
    </row>
    <row r="6">
      <c r="A6" s="7" t="inlineStr">
        <is>
          <t xml:space="preserve">  Entry EV / EBITDA multiple</t>
        </is>
      </c>
      <c r="B6" s="43">
        <f>Assumptions!$B$33</f>
        <v/>
      </c>
      <c r="C6" s="3" t="inlineStr">
        <is>
          <t>purchase-price multiple</t>
        </is>
      </c>
    </row>
    <row r="7">
      <c r="A7" s="8" t="inlineStr">
        <is>
          <t>Entry enterprise value</t>
        </is>
      </c>
      <c r="B7" s="34">
        <f>B6*B5</f>
        <v/>
      </c>
      <c r="C7" s="3" t="inlineStr">
        <is>
          <t>multiple × EBITDA</t>
        </is>
      </c>
    </row>
    <row r="9">
      <c r="A9" s="13" t="inlineStr">
        <is>
          <t>USES OF FUNDS</t>
        </is>
      </c>
      <c r="B9" s="42" t="n"/>
      <c r="C9" s="42" t="n"/>
    </row>
    <row r="10">
      <c r="A10" s="7" t="inlineStr">
        <is>
          <t xml:space="preserve">  Purchase enterprise value</t>
        </is>
      </c>
      <c r="B10" s="40">
        <f>B7</f>
        <v/>
      </c>
      <c r="C10" s="3" t="inlineStr">
        <is>
          <t>buy the business (cash-free, debt-free)</t>
        </is>
      </c>
    </row>
    <row r="11">
      <c r="A11" s="7" t="inlineStr">
        <is>
          <t xml:space="preserve">  Transaction fees</t>
        </is>
      </c>
      <c r="B11" s="40">
        <f>Assumptions!$B$38*B7</f>
        <v/>
      </c>
      <c r="C11" s="3" t="inlineStr">
        <is>
          <t>advisory / legal / diligence</t>
        </is>
      </c>
    </row>
    <row r="12">
      <c r="A12" s="7" t="inlineStr">
        <is>
          <t xml:space="preserve">  Financing fees</t>
        </is>
      </c>
      <c r="B12" s="40">
        <f>Assumptions!$B$39*(Assumptions!$B$34*Assumptions!$D$10)</f>
        <v/>
      </c>
      <c r="C12" s="3" t="inlineStr">
        <is>
          <t>arrangement / OID on new debt</t>
        </is>
      </c>
    </row>
    <row r="13">
      <c r="A13" s="8" t="inlineStr">
        <is>
          <t>Total uses</t>
        </is>
      </c>
      <c r="B13" s="44">
        <f>SUM(B10:B12)</f>
        <v/>
      </c>
    </row>
    <row r="15">
      <c r="A15" s="13" t="inlineStr">
        <is>
          <t>SOURCES OF FUNDS</t>
        </is>
      </c>
      <c r="B15" s="42" t="n"/>
      <c r="C15" s="42" t="n"/>
    </row>
    <row r="16">
      <c r="A16" s="7" t="inlineStr">
        <is>
          <t xml:space="preserve">  New term debt</t>
        </is>
      </c>
      <c r="B16" s="40">
        <f>Assumptions!$B$34*Assumptions!$D$10</f>
        <v/>
      </c>
      <c r="C16" s="3" t="inlineStr">
        <is>
          <t>leverage × EBITDA (5.0×)</t>
        </is>
      </c>
    </row>
    <row r="17">
      <c r="A17" s="7" t="inlineStr">
        <is>
          <t xml:space="preserve">  Management rollover</t>
        </is>
      </c>
      <c r="B17" s="40">
        <f>Assumptions!$B$40</f>
        <v/>
      </c>
      <c r="C17" s="3" t="inlineStr">
        <is>
          <t>mgmt equity rolled into newco</t>
        </is>
      </c>
    </row>
    <row r="18">
      <c r="A18" s="7" t="inlineStr">
        <is>
          <t xml:space="preserve">  Sponsor equity (plug)</t>
        </is>
      </c>
      <c r="B18" s="40">
        <f>B13-B16-B17</f>
        <v/>
      </c>
      <c r="C18" s="3" t="inlineStr">
        <is>
          <t>the check the PE firm writes</t>
        </is>
      </c>
    </row>
    <row r="19">
      <c r="A19" s="8" t="inlineStr">
        <is>
          <t>Total sources</t>
        </is>
      </c>
      <c r="B19" s="44">
        <f>SUM(B16:B18)</f>
        <v/>
      </c>
    </row>
    <row r="21">
      <c r="A21" s="8" t="inlineStr">
        <is>
          <t>Check: sources − uses</t>
        </is>
      </c>
      <c r="B21" s="34">
        <f>B19-B13</f>
        <v/>
      </c>
      <c r="C21" s="35" t="inlineStr">
        <is>
          <t>0 confirms it balances ✓</t>
        </is>
      </c>
    </row>
    <row r="23">
      <c r="A23" s="13" t="inlineStr">
        <is>
          <t>CAPITALIZATION</t>
        </is>
      </c>
      <c r="B23" s="42" t="n"/>
      <c r="C23" s="42" t="n"/>
    </row>
    <row r="24">
      <c r="A24" s="7" t="inlineStr">
        <is>
          <t xml:space="preserve">  Total capitalization</t>
        </is>
      </c>
      <c r="B24" s="40">
        <f>B13</f>
        <v/>
      </c>
    </row>
    <row r="25">
      <c r="A25" s="7" t="inlineStr">
        <is>
          <t xml:space="preserve">  Debt % of total</t>
        </is>
      </c>
      <c r="B25" s="33">
        <f>B16/B13</f>
        <v/>
      </c>
    </row>
    <row r="26">
      <c r="A26" s="7" t="inlineStr">
        <is>
          <t xml:space="preserve">  Equity % of total</t>
        </is>
      </c>
      <c r="B26" s="33">
        <f>(B17+B18)/B13</f>
        <v/>
      </c>
    </row>
    <row r="27">
      <c r="A27" s="8" t="inlineStr">
        <is>
          <t xml:space="preserve">  Sponsor equity check</t>
        </is>
      </c>
      <c r="B27" s="34">
        <f>B18</f>
        <v/>
      </c>
      <c r="C27" s="3" t="inlineStr">
        <is>
          <t>business equity 232.0 + fees − rollover</t>
        </is>
      </c>
    </row>
    <row r="29">
      <c r="A29" s="36" t="inlineStr">
        <is>
          <t>Reconciles to Returns: sponsor check 238.9 = business equity 232.0 (EV − debt) + fees 18.9 − rollover 12.0.</t>
        </is>
      </c>
    </row>
    <row r="30"/>
  </sheetData>
  <mergeCells count="3">
    <mergeCell ref="A1:C1"/>
    <mergeCell ref="A29:C30"/>
    <mergeCell ref="A2:C2"/>
  </mergeCells>
  <pageMargins left="0.3" right="0.3" top="0.4" bottom="0.4" header="0.5" footer="0.5"/>
  <pageSetup orientation="landscape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26" customWidth="1" min="8" max="8"/>
  </cols>
  <sheetData>
    <row r="1" ht="22" customHeight="1">
      <c r="A1" s="12" t="inlineStr">
        <is>
          <t>Cascade Components — Debt Schedule  ($mm)</t>
        </is>
      </c>
    </row>
    <row r="2">
      <c r="A2" s="3" t="inlineStr">
        <is>
          <t>Free cash flow sweeps the debt down each year; interest (on the beginning balance) feeds the income statement.</t>
        </is>
      </c>
    </row>
    <row r="4">
      <c r="A4" s="27" t="inlineStr">
        <is>
          <t>$mm</t>
        </is>
      </c>
      <c r="B4" s="28" t="inlineStr">
        <is>
          <t>At close</t>
        </is>
      </c>
      <c r="C4" s="28" t="inlineStr">
        <is>
          <t>Year 1</t>
        </is>
      </c>
      <c r="D4" s="28" t="inlineStr">
        <is>
          <t>Year 2</t>
        </is>
      </c>
      <c r="E4" s="28" t="inlineStr">
        <is>
          <t>Year 3</t>
        </is>
      </c>
      <c r="F4" s="28" t="inlineStr">
        <is>
          <t>Year 4</t>
        </is>
      </c>
      <c r="G4" s="28" t="inlineStr">
        <is>
          <t>Year 5</t>
        </is>
      </c>
    </row>
    <row r="5">
      <c r="A5" s="13" t="inlineStr">
        <is>
          <t>CASH FLOW AVAILABLE FOR DEBT PAYDOWN</t>
        </is>
      </c>
      <c r="B5" s="42" t="n"/>
      <c r="C5" s="42" t="n"/>
      <c r="D5" s="42" t="n"/>
      <c r="E5" s="42" t="n"/>
      <c r="F5" s="42" t="n"/>
      <c r="G5" s="42" t="n"/>
    </row>
    <row r="6">
      <c r="A6" s="7" t="inlineStr">
        <is>
          <t xml:space="preserve">  Net income</t>
        </is>
      </c>
      <c r="C6" s="40">
        <f>'Income Statement'!E19</f>
        <v/>
      </c>
      <c r="D6" s="40">
        <f>'Income Statement'!F19</f>
        <v/>
      </c>
      <c r="E6" s="40">
        <f>'Income Statement'!G19</f>
        <v/>
      </c>
      <c r="F6" s="40">
        <f>'Income Statement'!H19</f>
        <v/>
      </c>
      <c r="G6" s="40">
        <f>'Income Statement'!I19</f>
        <v/>
      </c>
    </row>
    <row r="7">
      <c r="A7" s="7" t="inlineStr">
        <is>
          <t xml:space="preserve">  + Depreciation &amp; amort.</t>
        </is>
      </c>
      <c r="C7" s="40">
        <f>'Balance Sheet'!C15</f>
        <v/>
      </c>
      <c r="D7" s="40">
        <f>'Balance Sheet'!D15</f>
        <v/>
      </c>
      <c r="E7" s="40">
        <f>'Balance Sheet'!E15</f>
        <v/>
      </c>
      <c r="F7" s="40">
        <f>'Balance Sheet'!F15</f>
        <v/>
      </c>
      <c r="G7" s="40">
        <f>'Balance Sheet'!G15</f>
        <v/>
      </c>
    </row>
    <row r="8">
      <c r="A8" s="7" t="inlineStr">
        <is>
          <t xml:space="preserve">  − (Increase)/decrease in NWC</t>
        </is>
      </c>
      <c r="C8" s="40">
        <f>'Balance Sheet'!C10</f>
        <v/>
      </c>
      <c r="D8" s="40">
        <f>'Balance Sheet'!D10</f>
        <v/>
      </c>
      <c r="E8" s="40">
        <f>'Balance Sheet'!E10</f>
        <v/>
      </c>
      <c r="F8" s="40">
        <f>'Balance Sheet'!F10</f>
        <v/>
      </c>
      <c r="G8" s="40">
        <f>'Balance Sheet'!G10</f>
        <v/>
      </c>
    </row>
    <row r="9">
      <c r="A9" s="7" t="inlineStr">
        <is>
          <t xml:space="preserve">  − Capital expenditures</t>
        </is>
      </c>
      <c r="C9" s="40">
        <f>-'Balance Sheet'!C14</f>
        <v/>
      </c>
      <c r="D9" s="40">
        <f>-'Balance Sheet'!D14</f>
        <v/>
      </c>
      <c r="E9" s="40">
        <f>-'Balance Sheet'!E14</f>
        <v/>
      </c>
      <c r="F9" s="40">
        <f>-'Balance Sheet'!F14</f>
        <v/>
      </c>
      <c r="G9" s="40">
        <f>-'Balance Sheet'!G14</f>
        <v/>
      </c>
    </row>
    <row r="10">
      <c r="A10" s="8" t="inlineStr">
        <is>
          <t>Free cash flow (pre-paydown)</t>
        </is>
      </c>
      <c r="B10" s="41" t="n"/>
      <c r="C10" s="31">
        <f>SUM(C6:C9)</f>
        <v/>
      </c>
      <c r="D10" s="31">
        <f>SUM(D6:D9)</f>
        <v/>
      </c>
      <c r="E10" s="31">
        <f>SUM(E6:E9)</f>
        <v/>
      </c>
      <c r="F10" s="31">
        <f>SUM(F6:F9)</f>
        <v/>
      </c>
      <c r="G10" s="31">
        <f>SUM(G6:G9)</f>
        <v/>
      </c>
    </row>
    <row r="12">
      <c r="A12" s="13" t="inlineStr">
        <is>
          <t>DEBT ROLL-FORWARD</t>
        </is>
      </c>
      <c r="B12" s="42" t="n"/>
      <c r="C12" s="42" t="n"/>
      <c r="D12" s="42" t="n"/>
      <c r="E12" s="42" t="n"/>
      <c r="F12" s="42" t="n"/>
      <c r="G12" s="42" t="n"/>
    </row>
    <row r="13">
      <c r="A13" s="7" t="inlineStr">
        <is>
          <t xml:space="preserve">  Beginning debt</t>
        </is>
      </c>
      <c r="C13" s="40">
        <f>B16</f>
        <v/>
      </c>
      <c r="D13" s="40">
        <f>C16</f>
        <v/>
      </c>
      <c r="E13" s="40">
        <f>D16</f>
        <v/>
      </c>
      <c r="F13" s="40">
        <f>E16</f>
        <v/>
      </c>
      <c r="G13" s="40">
        <f>F16</f>
        <v/>
      </c>
    </row>
    <row r="14">
      <c r="A14" s="7" t="inlineStr">
        <is>
          <t xml:space="preserve">  Interest expense (@ 8.5%)</t>
        </is>
      </c>
      <c r="C14" s="40">
        <f>C13*Assumptions!$B$35</f>
        <v/>
      </c>
      <c r="D14" s="40">
        <f>D13*Assumptions!$B$35</f>
        <v/>
      </c>
      <c r="E14" s="40">
        <f>E13*Assumptions!$B$35</f>
        <v/>
      </c>
      <c r="F14" s="40">
        <f>F13*Assumptions!$B$35</f>
        <v/>
      </c>
      <c r="G14" s="40">
        <f>G13*Assumptions!$B$35</f>
        <v/>
      </c>
    </row>
    <row r="15">
      <c r="A15" s="7" t="inlineStr">
        <is>
          <t xml:space="preserve">  (−) Debt paydown — cash sweep</t>
        </is>
      </c>
      <c r="C15" s="40">
        <f>-MIN(MAX(C10,0),C13)</f>
        <v/>
      </c>
      <c r="D15" s="40">
        <f>-MIN(MAX(D10,0),D13)</f>
        <v/>
      </c>
      <c r="E15" s="40">
        <f>-MIN(MAX(E10,0),E13)</f>
        <v/>
      </c>
      <c r="F15" s="40">
        <f>-MIN(MAX(F10,0),F13)</f>
        <v/>
      </c>
      <c r="G15" s="40">
        <f>-MIN(MAX(G10,0),G13)</f>
        <v/>
      </c>
    </row>
    <row r="16">
      <c r="A16" s="8" t="inlineStr">
        <is>
          <t>Ending debt</t>
        </is>
      </c>
      <c r="B16" s="31">
        <f>'Sources &amp; Uses'!B16</f>
        <v/>
      </c>
      <c r="C16" s="31">
        <f>C13+C15</f>
        <v/>
      </c>
      <c r="D16" s="31">
        <f>D13+D15</f>
        <v/>
      </c>
      <c r="E16" s="31">
        <f>E13+E15</f>
        <v/>
      </c>
      <c r="F16" s="31">
        <f>F13+F15</f>
        <v/>
      </c>
      <c r="G16" s="31">
        <f>G13+G15</f>
        <v/>
      </c>
    </row>
    <row r="17">
      <c r="A17" s="7" t="inlineStr">
        <is>
          <t xml:space="preserve">  Memo: net debt / EBITDA</t>
        </is>
      </c>
      <c r="C17" s="45">
        <f>C16/'Income Statement'!E11</f>
        <v/>
      </c>
      <c r="D17" s="45">
        <f>D16/'Income Statement'!F11</f>
        <v/>
      </c>
      <c r="E17" s="45">
        <f>E16/'Income Statement'!G11</f>
        <v/>
      </c>
      <c r="F17" s="45">
        <f>F16/'Income Statement'!H11</f>
        <v/>
      </c>
      <c r="G17" s="45">
        <f>G16/'Income Statement'!I11</f>
        <v/>
      </c>
    </row>
    <row r="19">
      <c r="A19" s="36" t="inlineStr">
        <is>
          <t>100% cash sweep assumed (all free cash flow pays down debt). Interest is charged on the beginning-of-year balance to keep the model non-circular.</t>
        </is>
      </c>
    </row>
    <row r="20"/>
  </sheetData>
  <mergeCells count="3">
    <mergeCell ref="A2:H2"/>
    <mergeCell ref="A1:G1"/>
    <mergeCell ref="A19:H20"/>
  </mergeCells>
  <pageMargins left="0.3" right="0.3" top="0.4" bottom="0.4" header="0.5" footer="0.5"/>
  <pageSetup orientation="landscape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4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2" customHeight="1">
      <c r="A1" s="12" t="inlineStr">
        <is>
          <t>Cascade Components — Returns  ($mm)</t>
        </is>
      </c>
    </row>
    <row r="2">
      <c r="A2" s="3" t="inlineStr">
        <is>
          <t>Exit equity ÷ equity invested = MOIC; annualized = IRR. The bridge attributes the gain to the three value levers (1.6).</t>
        </is>
      </c>
    </row>
    <row r="4">
      <c r="A4" s="13" t="inlineStr">
        <is>
          <t>ENTRY</t>
        </is>
      </c>
      <c r="B4" s="42" t="n"/>
      <c r="C4" s="42" t="n"/>
      <c r="D4" s="42" t="n"/>
      <c r="E4" s="42" t="n"/>
      <c r="F4" s="42" t="n"/>
      <c r="G4" s="42" t="n"/>
    </row>
    <row r="5">
      <c r="A5" s="7" t="inlineStr">
        <is>
          <t xml:space="preserve">  Entry enterprise value</t>
        </is>
      </c>
      <c r="B5" s="40">
        <f>'Sources &amp; Uses'!B7</f>
        <v/>
      </c>
    </row>
    <row r="6">
      <c r="A6" s="7" t="inlineStr">
        <is>
          <t xml:space="preserve">  Less: new debt</t>
        </is>
      </c>
      <c r="B6" s="40">
        <f>-'Sources &amp; Uses'!B16</f>
        <v/>
      </c>
    </row>
    <row r="7">
      <c r="A7" s="8" t="inlineStr">
        <is>
          <t>Entry equity (business)</t>
        </is>
      </c>
      <c r="B7" s="34">
        <f>B5+B6</f>
        <v/>
      </c>
      <c r="C7" s="3" t="inlineStr">
        <is>
          <t>EV − debt (not the sponsor check: that adds fees, nets rollover)</t>
        </is>
      </c>
    </row>
    <row r="8">
      <c r="A8" s="7" t="inlineStr">
        <is>
          <t xml:space="preserve">  Plus: fees funded by equity</t>
        </is>
      </c>
      <c r="B8" s="40">
        <f>'Sources &amp; Uses'!B11+'Sources &amp; Uses'!B12</f>
        <v/>
      </c>
      <c r="C8" s="3" t="inlineStr">
        <is>
          <t>transaction + financing</t>
        </is>
      </c>
    </row>
    <row r="9">
      <c r="A9" s="8" t="inlineStr">
        <is>
          <t>Total equity invested</t>
        </is>
      </c>
      <c r="B9" s="34">
        <f>B7+B8</f>
        <v/>
      </c>
      <c r="C9" s="3" t="inlineStr">
        <is>
          <t>sponsor + rollover</t>
        </is>
      </c>
    </row>
    <row r="11">
      <c r="A11" s="13" t="inlineStr">
        <is>
          <t>EXIT  (Year 5)</t>
        </is>
      </c>
      <c r="B11" s="42" t="n"/>
      <c r="C11" s="42" t="n"/>
      <c r="D11" s="42" t="n"/>
      <c r="E11" s="42" t="n"/>
      <c r="F11" s="42" t="n"/>
      <c r="G11" s="42" t="n"/>
    </row>
    <row r="12">
      <c r="A12" s="7" t="inlineStr">
        <is>
          <t xml:space="preserve">  Year-5 EBITDA</t>
        </is>
      </c>
      <c r="B12" s="40">
        <f>'Income Statement'!I11</f>
        <v/>
      </c>
    </row>
    <row r="13">
      <c r="A13" s="7" t="inlineStr">
        <is>
          <t xml:space="preserve">  Exit EV / EBITDA multiple</t>
        </is>
      </c>
      <c r="B13" s="43">
        <f>Assumptions!B36</f>
        <v/>
      </c>
      <c r="C13" s="3" t="inlineStr">
        <is>
          <t>exit = entry (no expansion)</t>
        </is>
      </c>
    </row>
    <row r="14">
      <c r="A14" s="8" t="inlineStr">
        <is>
          <t>Exit enterprise value</t>
        </is>
      </c>
      <c r="B14" s="34">
        <f>B12*B13</f>
        <v/>
      </c>
    </row>
    <row r="15">
      <c r="A15" s="7" t="inlineStr">
        <is>
          <t xml:space="preserve">  Less: exit net debt</t>
        </is>
      </c>
      <c r="B15" s="40">
        <f>-'Debt Schedule'!G16</f>
        <v/>
      </c>
      <c r="C15" s="3" t="inlineStr">
        <is>
          <t>after 5 yrs of paydown</t>
        </is>
      </c>
    </row>
    <row r="16">
      <c r="A16" s="8" t="inlineStr">
        <is>
          <t>Exit equity</t>
        </is>
      </c>
      <c r="B16" s="34">
        <f>B14+B15</f>
        <v/>
      </c>
    </row>
    <row r="18">
      <c r="A18" s="13" t="inlineStr">
        <is>
          <t>RETURNS</t>
        </is>
      </c>
      <c r="B18" s="42" t="n"/>
      <c r="C18" s="42" t="n"/>
      <c r="D18" s="42" t="n"/>
      <c r="E18" s="42" t="n"/>
      <c r="F18" s="42" t="n"/>
      <c r="G18" s="42" t="n"/>
    </row>
    <row r="19">
      <c r="A19" s="8" t="inlineStr">
        <is>
          <t>MOIC</t>
        </is>
      </c>
      <c r="B19" s="46">
        <f>B16/B9</f>
        <v/>
      </c>
      <c r="C19" s="3" t="inlineStr">
        <is>
          <t>exit equity ÷ TOTAL equity invested (B16 ÷ B9 = 544.6 ÷ 250.8)</t>
        </is>
      </c>
    </row>
    <row r="20">
      <c r="A20" s="8" t="inlineStr">
        <is>
          <t>IRR (5-yr)</t>
        </is>
      </c>
      <c r="B20" s="47">
        <f>B19^(1/Assumptions!B37)-1</f>
        <v/>
      </c>
      <c r="C20" s="3" t="inlineStr">
        <is>
          <t>MOIC annualized over the hold</t>
        </is>
      </c>
    </row>
    <row r="22">
      <c r="A22" s="13" t="inlineStr">
        <is>
          <t>VALUE-CREATION BRIDGE  (the three levers, 1.6)</t>
        </is>
      </c>
      <c r="B22" s="42" t="n"/>
      <c r="C22" s="42" t="n"/>
      <c r="D22" s="42" t="n"/>
      <c r="E22" s="42" t="n"/>
      <c r="F22" s="42" t="n"/>
      <c r="G22" s="42" t="n"/>
    </row>
    <row r="24">
      <c r="A24" s="7" t="inlineStr">
        <is>
          <t>Entry equity (business, EV − debt)</t>
        </is>
      </c>
      <c r="B24" s="40">
        <f>B7</f>
        <v/>
      </c>
      <c r="D24" s="48" t="inlineStr">
        <is>
          <t>% of gain</t>
        </is>
      </c>
    </row>
    <row r="25">
      <c r="A25" s="7" t="inlineStr">
        <is>
          <t xml:space="preserve">  + EBITDA growth</t>
        </is>
      </c>
      <c r="B25" s="40">
        <f>('Income Statement'!I11-Assumptions!D10)*Assumptions!B33</f>
        <v/>
      </c>
      <c r="C25" s="3" t="inlineStr">
        <is>
          <t>ΔEBITDA × entry multiple</t>
        </is>
      </c>
      <c r="D25" s="49">
        <f>B25/(B28-B24)</f>
        <v/>
      </c>
    </row>
    <row r="26">
      <c r="A26" s="7" t="inlineStr">
        <is>
          <t xml:space="preserve">  + Multiple expansion</t>
        </is>
      </c>
      <c r="B26" s="40">
        <f>(Assumptions!B36-Assumptions!B33)*'Income Statement'!I11</f>
        <v/>
      </c>
      <c r="C26" s="3" t="inlineStr">
        <is>
          <t>Δmultiple × exit EBITDA</t>
        </is>
      </c>
      <c r="D26" s="49">
        <f>B26/(B28-B24)</f>
        <v/>
      </c>
    </row>
    <row r="27">
      <c r="A27" s="7" t="inlineStr">
        <is>
          <t xml:space="preserve">  + Debt paydown (deleveraging)</t>
        </is>
      </c>
      <c r="B27" s="40">
        <f>'Sources &amp; Uses'!B16-'Debt Schedule'!G16</f>
        <v/>
      </c>
      <c r="C27" s="3" t="inlineStr">
        <is>
          <t>debt repaid over the hold</t>
        </is>
      </c>
      <c r="D27" s="49">
        <f>B27/(B28-B24)</f>
        <v/>
      </c>
    </row>
    <row r="28">
      <c r="A28" s="8" t="inlineStr">
        <is>
          <t>Exit equity (sum of bridge)</t>
        </is>
      </c>
      <c r="B28" s="34">
        <f>SUM(B24:B27)</f>
        <v/>
      </c>
    </row>
    <row r="29">
      <c r="A29" s="7" t="inlineStr">
        <is>
          <t>check vs exit equity</t>
        </is>
      </c>
      <c r="B29" s="40">
        <f>B28-B16</f>
        <v/>
      </c>
      <c r="C29" s="3" t="inlineStr">
        <is>
          <t>0 confirms the bridge ties</t>
        </is>
      </c>
    </row>
    <row r="31">
      <c r="A31" s="13" t="inlineStr">
        <is>
          <t>SENSITIVITY — MOIC  (entry multiple ↓  ×  exit multiple →)</t>
        </is>
      </c>
      <c r="B31" s="42" t="n"/>
      <c r="C31" s="42" t="n"/>
      <c r="D31" s="42" t="n"/>
      <c r="E31" s="42" t="n"/>
      <c r="F31" s="42" t="n"/>
      <c r="G31" s="42" t="n"/>
    </row>
    <row r="32">
      <c r="A32" s="50" t="inlineStr">
        <is>
          <t>entry \ exit</t>
        </is>
      </c>
      <c r="B32" s="51" t="n">
        <v>8</v>
      </c>
      <c r="C32" s="51" t="n">
        <v>8.5</v>
      </c>
      <c r="D32" s="51" t="n">
        <v>9</v>
      </c>
      <c r="E32" s="51" t="n">
        <v>9.5</v>
      </c>
      <c r="F32" s="51" t="n">
        <v>10</v>
      </c>
    </row>
    <row r="33">
      <c r="A33" s="52" t="n">
        <v>8</v>
      </c>
      <c r="B33" s="53">
        <f>('Income Statement'!I11*B$32-'Debt Schedule'!G16)/($A33*Assumptions!D10*(1+Assumptions!$B$38)+Assumptions!$B$39*'Sources &amp; Uses'!B16-'Sources &amp; Uses'!B16)</f>
        <v/>
      </c>
      <c r="C33" s="53">
        <f>('Income Statement'!I11*C$32-'Debt Schedule'!G16)/($A33*Assumptions!D10*(1+Assumptions!$B$38)+Assumptions!$B$39*'Sources &amp; Uses'!B16-'Sources &amp; Uses'!B16)</f>
        <v/>
      </c>
      <c r="D33" s="53">
        <f>('Income Statement'!I11*D$32-'Debt Schedule'!G16)/($A33*Assumptions!D10*(1+Assumptions!$B$38)+Assumptions!$B$39*'Sources &amp; Uses'!B16-'Sources &amp; Uses'!B16)</f>
        <v/>
      </c>
      <c r="E33" s="53">
        <f>('Income Statement'!I11*E$32-'Debt Schedule'!G16)/($A33*Assumptions!D10*(1+Assumptions!$B$38)+Assumptions!$B$39*'Sources &amp; Uses'!B16-'Sources &amp; Uses'!B16)</f>
        <v/>
      </c>
      <c r="F33" s="53">
        <f>('Income Statement'!I11*F$32-'Debt Schedule'!G16)/($A33*Assumptions!D10*(1+Assumptions!$B$38)+Assumptions!$B$39*'Sources &amp; Uses'!B16-'Sources &amp; Uses'!B16)</f>
        <v/>
      </c>
    </row>
    <row r="34">
      <c r="A34" s="52" t="n">
        <v>8.5</v>
      </c>
      <c r="B34" s="53">
        <f>('Income Statement'!I11*B$32-'Debt Schedule'!G16)/($A34*Assumptions!D10*(1+Assumptions!$B$38)+Assumptions!$B$39*'Sources &amp; Uses'!B16-'Sources &amp; Uses'!B16)</f>
        <v/>
      </c>
      <c r="C34" s="53">
        <f>('Income Statement'!I11*C$32-'Debt Schedule'!G16)/($A34*Assumptions!D10*(1+Assumptions!$B$38)+Assumptions!$B$39*'Sources &amp; Uses'!B16-'Sources &amp; Uses'!B16)</f>
        <v/>
      </c>
      <c r="D34" s="53">
        <f>('Income Statement'!I11*D$32-'Debt Schedule'!G16)/($A34*Assumptions!D10*(1+Assumptions!$B$38)+Assumptions!$B$39*'Sources &amp; Uses'!B16-'Sources &amp; Uses'!B16)</f>
        <v/>
      </c>
      <c r="E34" s="53">
        <f>('Income Statement'!I11*E$32-'Debt Schedule'!G16)/($A34*Assumptions!D10*(1+Assumptions!$B$38)+Assumptions!$B$39*'Sources &amp; Uses'!B16-'Sources &amp; Uses'!B16)</f>
        <v/>
      </c>
      <c r="F34" s="53">
        <f>('Income Statement'!I11*F$32-'Debt Schedule'!G16)/($A34*Assumptions!D10*(1+Assumptions!$B$38)+Assumptions!$B$39*'Sources &amp; Uses'!B16-'Sources &amp; Uses'!B16)</f>
        <v/>
      </c>
    </row>
    <row r="35">
      <c r="A35" s="52" t="n">
        <v>9</v>
      </c>
      <c r="B35" s="53">
        <f>('Income Statement'!I11*B$32-'Debt Schedule'!G16)/($A35*Assumptions!D10*(1+Assumptions!$B$38)+Assumptions!$B$39*'Sources &amp; Uses'!B16-'Sources &amp; Uses'!B16)</f>
        <v/>
      </c>
      <c r="C35" s="53">
        <f>('Income Statement'!I11*C$32-'Debt Schedule'!G16)/($A35*Assumptions!D10*(1+Assumptions!$B$38)+Assumptions!$B$39*'Sources &amp; Uses'!B16-'Sources &amp; Uses'!B16)</f>
        <v/>
      </c>
      <c r="D35" s="54">
        <f>('Income Statement'!I11*D$32-'Debt Schedule'!G16)/($A35*Assumptions!D10*(1+Assumptions!$B$38)+Assumptions!$B$39*'Sources &amp; Uses'!B16-'Sources &amp; Uses'!B16)</f>
        <v/>
      </c>
      <c r="E35" s="53">
        <f>('Income Statement'!I11*E$32-'Debt Schedule'!G16)/($A35*Assumptions!D10*(1+Assumptions!$B$38)+Assumptions!$B$39*'Sources &amp; Uses'!B16-'Sources &amp; Uses'!B16)</f>
        <v/>
      </c>
      <c r="F35" s="53">
        <f>('Income Statement'!I11*F$32-'Debt Schedule'!G16)/($A35*Assumptions!D10*(1+Assumptions!$B$38)+Assumptions!$B$39*'Sources &amp; Uses'!B16-'Sources &amp; Uses'!B16)</f>
        <v/>
      </c>
    </row>
    <row r="36">
      <c r="A36" s="52" t="n">
        <v>9.5</v>
      </c>
      <c r="B36" s="53">
        <f>('Income Statement'!I11*B$32-'Debt Schedule'!G16)/($A36*Assumptions!D10*(1+Assumptions!$B$38)+Assumptions!$B$39*'Sources &amp; Uses'!B16-'Sources &amp; Uses'!B16)</f>
        <v/>
      </c>
      <c r="C36" s="53">
        <f>('Income Statement'!I11*C$32-'Debt Schedule'!G16)/($A36*Assumptions!D10*(1+Assumptions!$B$38)+Assumptions!$B$39*'Sources &amp; Uses'!B16-'Sources &amp; Uses'!B16)</f>
        <v/>
      </c>
      <c r="D36" s="53">
        <f>('Income Statement'!I11*D$32-'Debt Schedule'!G16)/($A36*Assumptions!D10*(1+Assumptions!$B$38)+Assumptions!$B$39*'Sources &amp; Uses'!B16-'Sources &amp; Uses'!B16)</f>
        <v/>
      </c>
      <c r="E36" s="53">
        <f>('Income Statement'!I11*E$32-'Debt Schedule'!G16)/($A36*Assumptions!D10*(1+Assumptions!$B$38)+Assumptions!$B$39*'Sources &amp; Uses'!B16-'Sources &amp; Uses'!B16)</f>
        <v/>
      </c>
      <c r="F36" s="53">
        <f>('Income Statement'!I11*F$32-'Debt Schedule'!G16)/($A36*Assumptions!D10*(1+Assumptions!$B$38)+Assumptions!$B$39*'Sources &amp; Uses'!B16-'Sources &amp; Uses'!B16)</f>
        <v/>
      </c>
    </row>
    <row r="37">
      <c r="A37" s="52" t="n">
        <v>10</v>
      </c>
      <c r="B37" s="53">
        <f>('Income Statement'!I11*B$32-'Debt Schedule'!G16)/($A37*Assumptions!D10*(1+Assumptions!$B$38)+Assumptions!$B$39*'Sources &amp; Uses'!B16-'Sources &amp; Uses'!B16)</f>
        <v/>
      </c>
      <c r="C37" s="53">
        <f>('Income Statement'!I11*C$32-'Debt Schedule'!G16)/($A37*Assumptions!D10*(1+Assumptions!$B$38)+Assumptions!$B$39*'Sources &amp; Uses'!B16-'Sources &amp; Uses'!B16)</f>
        <v/>
      </c>
      <c r="D37" s="53">
        <f>('Income Statement'!I11*D$32-'Debt Schedule'!G16)/($A37*Assumptions!D10*(1+Assumptions!$B$38)+Assumptions!$B$39*'Sources &amp; Uses'!B16-'Sources &amp; Uses'!B16)</f>
        <v/>
      </c>
      <c r="E37" s="53">
        <f>('Income Statement'!I11*E$32-'Debt Schedule'!G16)/($A37*Assumptions!D10*(1+Assumptions!$B$38)+Assumptions!$B$39*'Sources &amp; Uses'!B16-'Sources &amp; Uses'!B16)</f>
        <v/>
      </c>
      <c r="F37" s="53">
        <f>('Income Statement'!I11*F$32-'Debt Schedule'!G16)/($A37*Assumptions!D10*(1+Assumptions!$B$38)+Assumptions!$B$39*'Sources &amp; Uses'!B16-'Sources &amp; Uses'!B16)</f>
        <v/>
      </c>
    </row>
    <row r="40">
      <c r="A40" s="13" t="inlineStr">
        <is>
          <t>SENSITIVITY — IRR  (entry multiple ↓  ×  exit multiple →)</t>
        </is>
      </c>
      <c r="B40" s="42" t="n"/>
      <c r="C40" s="42" t="n"/>
      <c r="D40" s="42" t="n"/>
      <c r="E40" s="42" t="n"/>
      <c r="F40" s="42" t="n"/>
      <c r="G40" s="42" t="n"/>
    </row>
    <row r="41">
      <c r="A41" s="50" t="inlineStr">
        <is>
          <t>entry \ exit</t>
        </is>
      </c>
      <c r="B41" s="51" t="n">
        <v>8</v>
      </c>
      <c r="C41" s="51" t="n">
        <v>8.5</v>
      </c>
      <c r="D41" s="51" t="n">
        <v>9</v>
      </c>
      <c r="E41" s="51" t="n">
        <v>9.5</v>
      </c>
      <c r="F41" s="51" t="n">
        <v>10</v>
      </c>
    </row>
    <row r="42">
      <c r="A42" s="52" t="n">
        <v>8</v>
      </c>
      <c r="B42" s="19">
        <f>B33^(1/Assumptions!B37)-1</f>
        <v/>
      </c>
      <c r="C42" s="19">
        <f>C33^(1/Assumptions!B37)-1</f>
        <v/>
      </c>
      <c r="D42" s="19">
        <f>D33^(1/Assumptions!B37)-1</f>
        <v/>
      </c>
      <c r="E42" s="19">
        <f>E33^(1/Assumptions!B37)-1</f>
        <v/>
      </c>
      <c r="F42" s="19">
        <f>F33^(1/Assumptions!B37)-1</f>
        <v/>
      </c>
    </row>
    <row r="43">
      <c r="A43" s="52" t="n">
        <v>8.5</v>
      </c>
      <c r="B43" s="19">
        <f>B34^(1/Assumptions!B37)-1</f>
        <v/>
      </c>
      <c r="C43" s="19">
        <f>C34^(1/Assumptions!B37)-1</f>
        <v/>
      </c>
      <c r="D43" s="19">
        <f>D34^(1/Assumptions!B37)-1</f>
        <v/>
      </c>
      <c r="E43" s="19">
        <f>E34^(1/Assumptions!B37)-1</f>
        <v/>
      </c>
      <c r="F43" s="19">
        <f>F34^(1/Assumptions!B37)-1</f>
        <v/>
      </c>
    </row>
    <row r="44">
      <c r="A44" s="52" t="n">
        <v>9</v>
      </c>
      <c r="B44" s="19">
        <f>B35^(1/Assumptions!B37)-1</f>
        <v/>
      </c>
      <c r="C44" s="19">
        <f>C35^(1/Assumptions!B37)-1</f>
        <v/>
      </c>
      <c r="D44" s="55">
        <f>D35^(1/Assumptions!B37)-1</f>
        <v/>
      </c>
      <c r="E44" s="19">
        <f>E35^(1/Assumptions!B37)-1</f>
        <v/>
      </c>
      <c r="F44" s="19">
        <f>F35^(1/Assumptions!B37)-1</f>
        <v/>
      </c>
    </row>
    <row r="45">
      <c r="A45" s="52" t="n">
        <v>9.5</v>
      </c>
      <c r="B45" s="19">
        <f>B36^(1/Assumptions!B37)-1</f>
        <v/>
      </c>
      <c r="C45" s="19">
        <f>C36^(1/Assumptions!B37)-1</f>
        <v/>
      </c>
      <c r="D45" s="19">
        <f>D36^(1/Assumptions!B37)-1</f>
        <v/>
      </c>
      <c r="E45" s="19">
        <f>E36^(1/Assumptions!B37)-1</f>
        <v/>
      </c>
      <c r="F45" s="19">
        <f>F36^(1/Assumptions!B37)-1</f>
        <v/>
      </c>
    </row>
    <row r="46">
      <c r="A46" s="52" t="n">
        <v>10</v>
      </c>
      <c r="B46" s="19">
        <f>B37^(1/Assumptions!B37)-1</f>
        <v/>
      </c>
      <c r="C46" s="19">
        <f>C37^(1/Assumptions!B37)-1</f>
        <v/>
      </c>
      <c r="D46" s="19">
        <f>D37^(1/Assumptions!B37)-1</f>
        <v/>
      </c>
      <c r="E46" s="19">
        <f>E37^(1/Assumptions!B37)-1</f>
        <v/>
      </c>
      <c r="F46" s="19">
        <f>F37^(1/Assumptions!B37)-1</f>
        <v/>
      </c>
    </row>
    <row r="48">
      <c r="A48" s="36" t="inlineStr">
        <is>
          <t>Base case (entry 9.0× / exit 9.0×) highlighted. MOIC = exit equity ÷ total equity invested ($250.8M — sponsor + rollover, incl. fees), the same denominator as the headline. Exit debt is held constant across the grid — the paydown path depends on operations, not the purchase multiple.</t>
        </is>
      </c>
    </row>
    <row r="49"/>
  </sheetData>
  <mergeCells count="3">
    <mergeCell ref="A2:G2"/>
    <mergeCell ref="A48:G49"/>
    <mergeCell ref="A1:G1"/>
  </mergeCells>
  <pageMargins left="0.3" right="0.3" top="0.4" bottom="0.4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2026-09-06T14:37:43Z</dcterms:created>
  <dcterms:modified xmlns:dcterms="http://purl.org/dc/terms/" xmlns:xsi="http://www.w3.org/2001/XMLSchema-instance" xsi:type="dcterms:W3CDTF">2026-09-06T14:37:43Z</dcterms:modified>
</cp:coreProperties>
</file>