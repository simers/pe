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EBITDA Bridge" sheetId="3" state="visible" r:id="rId5"/>
    <sheet name="Income Statement" sheetId="4" state="visible" r:id="rId6"/>
    <sheet name="Balance Sheet" sheetId="5" state="visible" r:id="rId7"/>
    <sheet name="Sources &amp; Uses" sheetId="6" state="visible" r:id="rId8"/>
    <sheet name="Debt Schedule" sheetId="7" state="visible" r:id="rId9"/>
    <sheet name="Retur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<sst xmlns="http://schemas.openxmlformats.org/spreadsheetml/2006/main" count="289" uniqueCount="252">
  <si>
    <t xml:space="preserve">Cascade Components Corp.</t>
  </si>
  <si>
    <t xml:space="preserve">LBO Operating Model  —  Middle-Market Case Study</t>
  </si>
  <si>
    <t xml:space="preserve">Private Equity Course · Modules 4–5 · built one schedule at a time</t>
  </si>
  <si>
    <t xml:space="preserve">Cascade Components designs and manufactures engineered fastening and sealing components for aerospace, defense, and industrial OEMs. Founded 1994; family-owned; the founder-CEO is retiring and running a sale process. A classic middle-market LBO target: a stable niche business with real assets, recurring OEM relationships, and room for a buy-and-build roll-up.</t>
  </si>
  <si>
    <t xml:space="preserve">How to read this model</t>
  </si>
  <si>
    <t xml:space="preserve">■  Blue text</t>
  </si>
  <si>
    <t xml:space="preserve">Hardcoded input / assumption — the levers you edit</t>
  </si>
  <si>
    <t xml:space="preserve">■  Black text</t>
  </si>
  <si>
    <t xml:space="preserve">Formula / calculation — do not overwrite</t>
  </si>
  <si>
    <t xml:space="preserve">■  Green text</t>
  </si>
  <si>
    <t xml:space="preserve">Link pulled from another sheet</t>
  </si>
  <si>
    <t xml:space="preserve">■  Yellow fill</t>
  </si>
  <si>
    <t xml:space="preserve">Key assumption to set (also blue text)</t>
  </si>
  <si>
    <t xml:space="preserve">Units &amp; conventions</t>
  </si>
  <si>
    <t xml:space="preserve">•  All figures in $ millions unless noted; one decimal place.</t>
  </si>
  <si>
    <t xml:space="preserve">•  Percentages are stored as fractions (0.181 renders 18.1%).</t>
  </si>
  <si>
    <t xml:space="preserve">•  Valuation multiples shown as 0.0x. Years are text labels.</t>
  </si>
  <si>
    <t xml:space="preserve">•  Illustrative case study — figures are realistic but not a real company.</t>
  </si>
  <si>
    <t xml:space="preserve">Tabs</t>
  </si>
  <si>
    <t xml:space="preserve">Cover</t>
  </si>
  <si>
    <t xml:space="preserve">This page — company, legend, conventions</t>
  </si>
  <si>
    <t xml:space="preserve">Assumptions</t>
  </si>
  <si>
    <t xml:space="preserve">All operating &amp; transaction drivers (Module 4–5)</t>
  </si>
  <si>
    <t xml:space="preserve">EBITDA Bridge</t>
  </si>
  <si>
    <t xml:space="preserve">Reported → Adjusted EBITDA reconciliation (Module 3/4)</t>
  </si>
  <si>
    <t xml:space="preserve">Income Statement</t>
  </si>
  <si>
    <t xml:space="preserve">Historical + projected P&amp;L → EBITDA/EBIT (Module 4)</t>
  </si>
  <si>
    <t xml:space="preserve">Balance Sheet</t>
  </si>
  <si>
    <t xml:space="preserve">Working capital (DSO/DIO/DPO) + PP&amp;E roll-forward (Module 4)</t>
  </si>
  <si>
    <t xml:space="preserve">Sources &amp; Uses</t>
  </si>
  <si>
    <t xml:space="preserve">How the deal is funded at close (Module 5)</t>
  </si>
  <si>
    <t xml:space="preserve">Debt Schedule</t>
  </si>
  <si>
    <t xml:space="preserve">Cash-flow sweep + debt roll-forward; interest → P&amp;L (Module 5)</t>
  </si>
  <si>
    <t xml:space="preserve">Returns</t>
  </si>
  <si>
    <t xml:space="preserve">Exit value, MOIC / IRR, value bridge &amp; sensitivities (Module 5)</t>
  </si>
  <si>
    <t xml:space="preserve">Course structure follows the Wharton Online &amp; Wall Street Prep PE Certificate syllabus. Independent study aid generated by Claude (Anthropic); directed and reviewed by Simer Sawhney, Co-founder, Voatz Inc. Educational use only — not investment advice; illustrative figures.  v1.0 · August 2026</t>
  </si>
  <si>
    <t xml:space="preserve">Cascade Components — Model Assumptions</t>
  </si>
  <si>
    <t xml:space="preserve">HISTORICAL FINANCIALS  ($mm)</t>
  </si>
  <si>
    <t xml:space="preserve">FY2023</t>
  </si>
  <si>
    <t xml:space="preserve">FY2024</t>
  </si>
  <si>
    <t xml:space="preserve">FY2025</t>
  </si>
  <si>
    <t xml:space="preserve">Notes / source</t>
  </si>
  <si>
    <t xml:space="preserve">Revenue</t>
  </si>
  <si>
    <t xml:space="preserve">Company financials (illustrative)</t>
  </si>
  <si>
    <t xml:space="preserve">  Cost of goods sold</t>
  </si>
  <si>
    <t xml:space="preserve">≈ 65% of revenue</t>
  </si>
  <si>
    <t xml:space="preserve">Gross profit</t>
  </si>
  <si>
    <t xml:space="preserve">Revenue − COGS (formula)</t>
  </si>
  <si>
    <t xml:space="preserve">  Gross margin %</t>
  </si>
  <si>
    <t xml:space="preserve">Gross profit ÷ Revenue</t>
  </si>
  <si>
    <t xml:space="preserve">  SG&amp;A (excl. D&amp;A)</t>
  </si>
  <si>
    <t xml:space="preserve">operating overhead</t>
  </si>
  <si>
    <t xml:space="preserve">Adjusted EBITDA</t>
  </si>
  <si>
    <t xml:space="preserve">Gross profit + SG&amp;A; reconciled on EBITDA Bridge tab</t>
  </si>
  <si>
    <t xml:space="preserve">  EBITDA margin %</t>
  </si>
  <si>
    <t xml:space="preserve">EBITDA ÷ Revenue</t>
  </si>
  <si>
    <t xml:space="preserve">Depreciation &amp; amort.</t>
  </si>
  <si>
    <t xml:space="preserve">≈ 3.3% of revenue</t>
  </si>
  <si>
    <t xml:space="preserve">Capital expenditures</t>
  </si>
  <si>
    <t xml:space="preserve">≈ 4% of revenue</t>
  </si>
  <si>
    <t xml:space="preserve">  Revenue growth %</t>
  </si>
  <si>
    <t xml:space="preserve">OPERATING ASSUMPTIONS  (projection drivers)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</si>
  <si>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</si>
  <si>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</si>
  <si>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</si>
  <si>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</si>
  <si>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</si>
  <si>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Basis</t>
  </si>
  <si>
    <t xml:space="preserve">Revenue growth %</t>
  </si>
  <si>
    <t xml:space="preserve">organic; buy-and-build adds later</t>
  </si>
  <si>
    <t xml:space="preserve">Gross margin %</t>
  </si>
  <si>
    <t xml:space="preserve">modest mix/scale improvement</t>
  </si>
  <si>
    <t xml:space="preserve">SG&amp;A % of revenue</t>
  </si>
  <si>
    <t xml:space="preserve">operating leverage as it scales</t>
  </si>
  <si>
    <t xml:space="preserve">PP&amp;E depreciation rate</t>
  </si>
  <si>
    <t xml:space="preserve">straight-line on net PP&amp;E (~8-yr life)</t>
  </si>
  <si>
    <t xml:space="preserve">Capex % of revenue</t>
  </si>
  <si>
    <t xml:space="preserve">maintenance + modest growth</t>
  </si>
  <si>
    <t xml:space="preserve">Tax rate</t>
  </si>
  <si>
    <t xml:space="preserve">blended federal + state</t>
  </si>
  <si>
    <t xml:space="preserve">WORKING CAPITAL &amp; PP&amp;E ASSUMPTIONS</t>
  </si>
  <si>
    <t xml:space="preserve">Value</t>
  </si>
  <si>
    <t xml:space="preserve">Drives</t>
  </si>
  <si>
    <t xml:space="preserve">DSO — days sales outstanding</t>
  </si>
  <si>
    <t xml:space="preserve">accounts receivable</t>
  </si>
  <si>
    <t xml:space="preserve">DIO — days inventory outstanding</t>
  </si>
  <si>
    <t xml:space="preserve">inventory (manufacturer -&gt; high)</t>
  </si>
  <si>
    <t xml:space="preserve">DPO — days payables outstanding</t>
  </si>
  <si>
    <t xml:space="preserve">accounts payable</t>
  </si>
  <si>
    <t xml:space="preserve">Opening net PP&amp;E, end-FY2025 ($mm)</t>
  </si>
  <si>
    <t xml:space="preserve">PP&amp;E roll-forward base</t>
  </si>
  <si>
    <t xml:space="preserve">TRANSACTION ASSUMPTIONS  (entry structure)</t>
  </si>
  <si>
    <t xml:space="preserve">Entry EV / LTM EBITDA multiple</t>
  </si>
  <si>
    <t xml:space="preserve">purchase-price multiple</t>
  </si>
  <si>
    <t xml:space="preserve">Net debt / EBITDA (leverage)</t>
  </si>
  <si>
    <t xml:space="preserve">turns of new debt at close</t>
  </si>
  <si>
    <t xml:space="preserve">Blended cost of debt</t>
  </si>
  <si>
    <t xml:space="preserve">≈ SOFR 3.6% + ~490 bps blended</t>
  </si>
  <si>
    <t xml:space="preserve">Exit EV / EBITDA multiple</t>
  </si>
  <si>
    <t xml:space="preserve">exit = entry (no multiple expansion assumed)</t>
  </si>
  <si>
    <t xml:space="preserve">Hold period (years)</t>
  </si>
  <si>
    <t xml:space="preserve">years to exit</t>
  </si>
  <si>
    <t xml:space="preserve">Transaction fees (% of EV)</t>
  </si>
  <si>
    <t xml:space="preserve">advisory / legal / diligence</t>
  </si>
  <si>
    <t xml:space="preserve">Financing fees (% of new debt)</t>
  </si>
  <si>
    <t xml:space="preserve">arrangement / OID</t>
  </si>
  <si>
    <t xml:space="preserve">Management rollover ($mm)</t>
  </si>
  <si>
    <t xml:space="preserve">mgmt equity rolled into newco</t>
  </si>
  <si>
    <t xml:space="preserve">Cascade Components — EBITDA Bridge  ($mm)</t>
  </si>
  <si>
    <t xml:space="preserve">Reported → Adjusted EBITDA. Each add-back is tagged by where it sits on the P&amp;L and how defensible it is (Module 3 spectrum).</t>
  </si>
  <si>
    <t xml:space="preserve">$mm</t>
  </si>
  <si>
    <t xml:space="preserve">Where on P&amp;L</t>
  </si>
  <si>
    <t xml:space="preserve">Defensibility</t>
  </si>
  <si>
    <t xml:space="preserve">Reported EBITDA</t>
  </si>
  <si>
    <t xml:space="preserve">  Owner-comp normalization</t>
  </si>
  <si>
    <t xml:space="preserve">SG&amp;A</t>
  </si>
  <si>
    <t xml:space="preserve">High — clean, quantifiable</t>
  </si>
  <si>
    <t xml:space="preserve">  Facility relocation (one-time)</t>
  </si>
  <si>
    <t xml:space="preserve">COGS + SG&amp;A</t>
  </si>
  <si>
    <t xml:space="preserve">Medium — verify truly one-time</t>
  </si>
  <si>
    <t xml:space="preserve">  Transaction &amp; legal (non-recur.)</t>
  </si>
  <si>
    <t xml:space="preserve">Medium — confirm non-operating</t>
  </si>
  <si>
    <t xml:space="preserve">  Inventory write-down (non-recur.)</t>
  </si>
  <si>
    <t xml:space="preserve">COGS</t>
  </si>
  <si>
    <t xml:space="preserve">Medium — check whether it recurs</t>
  </si>
  <si>
    <t xml:space="preserve">Total add-backs</t>
  </si>
  <si>
    <t xml:space="preserve">  Adjusted EBITDA margin %</t>
  </si>
  <si>
    <t xml:space="preserve">  Uplift over reported %</t>
  </si>
  <si>
    <t xml:space="preserve">Check: Adjusted EBITDA − operating model</t>
  </si>
  <si>
    <t xml:space="preserve">zero confirms the tie ✓</t>
  </si>
  <si>
    <t xml:space="preserve">Defensibility (Module 3): High add-backs survive diligence; Medium ones need support; serial ‘one-offs’ and run-rate/pro-forma items are where buyers push back hardest.</t>
  </si>
  <si>
    <t xml:space="preserve">Cascade Components — Income Statement  ($mm)</t>
  </si>
  <si>
    <t xml:space="preserve">Actual</t>
  </si>
  <si>
    <t xml:space="preserve">Projected</t>
  </si>
  <si>
    <t xml:space="preserve">  growth %</t>
  </si>
  <si>
    <t xml:space="preserve">  gross margin %</t>
  </si>
  <si>
    <t xml:space="preserve">EBITDA</t>
  </si>
  <si>
    <t xml:space="preserve">  Depreciation &amp; amort.</t>
  </si>
  <si>
    <t xml:space="preserve">EBIT</t>
  </si>
  <si>
    <t xml:space="preserve">  EBIT margin %</t>
  </si>
  <si>
    <t xml:space="preserve">  Interest expense</t>
  </si>
  <si>
    <t xml:space="preserve">Pre-tax income</t>
  </si>
  <si>
    <t xml:space="preserve">  Taxes</t>
  </si>
  <si>
    <t xml:space="preserve">Net income</t>
  </si>
  <si>
    <t xml:space="preserve">  net margin %</t>
  </si>
  <si>
    <t xml:space="preserve">Interest, taxes &amp; net income (projected years) come from the Debt Schedule; historical periods pre-date the LBO capital structure.</t>
  </si>
  <si>
    <t xml:space="preserve">Convention: interest is charged on the beginning-of-year debt balance — the standard way to avoid a circular reference.</t>
  </si>
  <si>
    <t xml:space="preserve">Cascade Components — Balance Sheet &amp; Working Capital  ($mm)</t>
  </si>
  <si>
    <t xml:space="preserve">Operating (asset-side) balance sheet. Cash, debt, goodwill &amp; equity are completed in Module 5 with the LBO financing.</t>
  </si>
  <si>
    <t xml:space="preserve">WORKING CAPITAL SCHEDULE  (driven by DSO / DIO / DPO)</t>
  </si>
  <si>
    <t xml:space="preserve">  Accounts receivable  (DSO)</t>
  </si>
  <si>
    <t xml:space="preserve">  Inventory  (DIO)</t>
  </si>
  <si>
    <t xml:space="preserve">  Accounts payable  (DPO)</t>
  </si>
  <si>
    <t xml:space="preserve">Net working capital</t>
  </si>
  <si>
    <t xml:space="preserve">  (Increase)/decrease in NWC — cash</t>
  </si>
  <si>
    <t xml:space="preserve">PP&amp;E ROLL-FORWARD  (D&amp;A now comes from the asset base)</t>
  </si>
  <si>
    <t xml:space="preserve">  Beginning net PP&amp;E</t>
  </si>
  <si>
    <t xml:space="preserve">  + Capital expenditures</t>
  </si>
  <si>
    <t xml:space="preserve">  − Depreciation</t>
  </si>
  <si>
    <t xml:space="preserve">Ending net PP&amp;E</t>
  </si>
  <si>
    <t xml:space="preserve">OPERATING NET ASSETS  (invested capital, excl. cash / debt / goodwill)</t>
  </si>
  <si>
    <t xml:space="preserve">  Net working capital</t>
  </si>
  <si>
    <t xml:space="preserve">  Net PP&amp;E</t>
  </si>
  <si>
    <t xml:space="preserve">Operating net assets</t>
  </si>
  <si>
    <t xml:space="preserve">Growth eats cash: NWC rises every year, so the "(Increase)/decrease in NWC" line is a recurring cash outflow (row 10).</t>
  </si>
  <si>
    <t xml:space="preserve">D&amp;A fix: Income-Statement depreciation now links to row 15 (rate × beginning PP&amp;E) — no longer a % of revenue.</t>
  </si>
  <si>
    <t xml:space="preserve">Cascade Components — Sources &amp; Uses  ($mm)</t>
  </si>
  <si>
    <t xml:space="preserve">How the purchase is funded at close. Uses = what you pay for; Sources = where the money comes from. They must balance.</t>
  </si>
  <si>
    <t xml:space="preserve">ENTRY</t>
  </si>
  <si>
    <t xml:space="preserve">  LTM Adjusted EBITDA</t>
  </si>
  <si>
    <t xml:space="preserve">from EBITDA Bridge (FY2025)</t>
  </si>
  <si>
    <t xml:space="preserve">  Entry EV / EBITDA multiple</t>
  </si>
  <si>
    <t xml:space="preserve">Entry enterprise value</t>
  </si>
  <si>
    <t xml:space="preserve">multiple × EBITDA</t>
  </si>
  <si>
    <t xml:space="preserve">USES OF FUNDS</t>
  </si>
  <si>
    <t xml:space="preserve">  Purchase enterprise value</t>
  </si>
  <si>
    <t xml:space="preserve">buy the business (cash-free, debt-free)</t>
  </si>
  <si>
    <t xml:space="preserve">  Transaction fees</t>
  </si>
  <si>
    <t xml:space="preserve">  Financing fees</t>
  </si>
  <si>
    <t xml:space="preserve">arrangement / OID on new debt</t>
  </si>
  <si>
    <t xml:space="preserve">Total uses</t>
  </si>
  <si>
    <t xml:space="preserve">SOURCES OF FUNDS</t>
  </si>
  <si>
    <t xml:space="preserve">  New term debt</t>
  </si>
  <si>
    <t xml:space="preserve">leverage × EBITDA (5.0×)</t>
  </si>
  <si>
    <t xml:space="preserve">  Management rollover</t>
  </si>
  <si>
    <t xml:space="preserve">  Sponsor equity (plug)</t>
  </si>
  <si>
    <t xml:space="preserve">the check the PE firm writes</t>
  </si>
  <si>
    <t xml:space="preserve">Total sources</t>
  </si>
  <si>
    <t xml:space="preserve">Check: sources − uses</t>
  </si>
  <si>
    <t xml:space="preserve">0 confirms it balances ✓</t>
  </si>
  <si>
    <t xml:space="preserve">CAPITALIZATION</t>
  </si>
  <si>
    <t xml:space="preserve">  Total capitalization</t>
  </si>
  <si>
    <t xml:space="preserve">  Debt % of total</t>
  </si>
  <si>
    <t xml:space="preserve">  Equity % of total</t>
  </si>
  <si>
    <t xml:space="preserve">  Sponsor equity check</t>
  </si>
  <si>
    <t xml:space="preserve">business equity 232.0 + fees − rollover</t>
  </si>
  <si>
    <t xml:space="preserve">Reconciles to Returns: sponsor check 238.9 = business equity 232.0 (EV − debt) + fees 18.9 − rollover 12.0.</t>
  </si>
  <si>
    <t xml:space="preserve">Cascade Components — Debt Schedule  ($mm)</t>
  </si>
  <si>
    <t xml:space="preserve">Free cash flow sweeps the debt down each year; interest (on the beginning balance) feeds the income statement.</t>
  </si>
  <si>
    <t xml:space="preserve">At close</t>
  </si>
  <si>
    <t xml:space="preserve">CASH FLOW AVAILABLE FOR DEBT PAYDOWN</t>
  </si>
  <si>
    <t xml:space="preserve">  Net income</t>
  </si>
  <si>
    <t xml:space="preserve">  + Depreciation &amp; amort.</t>
  </si>
  <si>
    <t xml:space="preserve">  − (Increase)/decrease in NWC</t>
  </si>
  <si>
    <t xml:space="preserve">  − Capital expenditures</t>
  </si>
  <si>
    <t xml:space="preserve">Free cash flow (pre-paydown)</t>
  </si>
  <si>
    <t xml:space="preserve">DEBT ROLL-FORWARD</t>
  </si>
  <si>
    <t xml:space="preserve">  Beginning debt</t>
  </si>
  <si>
    <t xml:space="preserve">  Interest expense (@ 8.5%)</t>
  </si>
  <si>
    <t xml:space="preserve">  (−) Debt paydown — cash sweep</t>
  </si>
  <si>
    <t xml:space="preserve">Ending debt</t>
  </si>
  <si>
    <t xml:space="preserve">  Memo: net debt / EBITDA</t>
  </si>
  <si>
    <t xml:space="preserve">100% cash sweep assumed (all free cash flow pays down debt). Interest is charged on the beginning-of-year balance to keep the model non-circular.</t>
  </si>
  <si>
    <t xml:space="preserve">Cascade Components — Returns  ($mm)</t>
  </si>
  <si>
    <t xml:space="preserve">Exit equity ÷ equity invested = MOIC; annualized = IRR. The bridge attributes the gain to the three value levers (1.6).</t>
  </si>
  <si>
    <t xml:space="preserve">  Entry enterprise value</t>
  </si>
  <si>
    <t xml:space="preserve">  Less: new debt</t>
  </si>
  <si>
    <t xml:space="preserve">Entry equity (business)</t>
  </si>
  <si>
    <t xml:space="preserve">EV − debt (not the sponsor check: that adds fees, nets rollover)</t>
  </si>
  <si>
    <t xml:space="preserve">  Plus: fees funded by equity</t>
  </si>
  <si>
    <t xml:space="preserve">transaction + financing</t>
  </si>
  <si>
    <t xml:space="preserve">Total equity invested</t>
  </si>
  <si>
    <t xml:space="preserve">sponsor + rollover</t>
  </si>
  <si>
    <t xml:space="preserve">EXIT  (Year 5)</t>
  </si>
  <si>
    <t xml:space="preserve">  Year-5 EBITDA</t>
  </si>
  <si>
    <t xml:space="preserve">  Exit EV / EBITDA multiple</t>
  </si>
  <si>
    <t xml:space="preserve">exit = entry (no expansion)</t>
  </si>
  <si>
    <t xml:space="preserve">Exit enterprise value</t>
  </si>
  <si>
    <t xml:space="preserve">  Less: exit net debt</t>
  </si>
  <si>
    <t xml:space="preserve">after 5 yrs of paydown</t>
  </si>
  <si>
    <t xml:space="preserve">Exit equity</t>
  </si>
  <si>
    <t xml:space="preserve">RETURNS</t>
  </si>
  <si>
    <t xml:space="preserve">MOIC</t>
  </si>
  <si>
    <t xml:space="preserve">exit equity ÷ TOTAL equity invested (B16 ÷ B9 = 544.6 ÷ 250.8)</t>
  </si>
  <si>
    <t xml:space="preserve">IRR (5-yr)</t>
  </si>
  <si>
    <t xml:space="preserve">MOIC annualized over the hold</t>
  </si>
  <si>
    <t xml:space="preserve">VALUE-CREATION BRIDGE  (the three levers, 1.6)</t>
  </si>
  <si>
    <t xml:space="preserve">Entry equity (business, EV − debt)</t>
  </si>
  <si>
    <t xml:space="preserve">% of gain</t>
  </si>
  <si>
    <t xml:space="preserve">  + EBITDA growth</t>
  </si>
  <si>
    <t xml:space="preserve">ΔEBITDA × entry multiple</t>
  </si>
  <si>
    <t xml:space="preserve">  + Multiple expansion</t>
  </si>
  <si>
    <t xml:space="preserve">Δmultiple × exit EBITDA</t>
  </si>
  <si>
    <t xml:space="preserve">  + Debt paydown (deleveraging)</t>
  </si>
  <si>
    <t xml:space="preserve">debt repaid over the hold</t>
  </si>
  <si>
    <t xml:space="preserve">Exit equity (sum of bridge)</t>
  </si>
  <si>
    <t xml:space="preserve">check vs exit equity</t>
  </si>
  <si>
    <t xml:space="preserve">0 confirms the bridge ties</t>
  </si>
  <si>
    <t xml:space="preserve">SENSITIVITY — MOIC  (entry multiple ↓  ×  exit multiple →)</t>
  </si>
  <si>
    <t xml:space="preserve">entry \ exit</t>
  </si>
  <si>
    <t xml:space="preserve">SENSITIVITY — IRR  (entry multiple ↓  ×  exit multiple →)</t>
  </si>
  <si>
    <t xml:space="preserve">Base case (entry 9.0× / exit 9.0×) highlighted. MOIC = exit equity ÷ total equity invested ($250.8M — sponsor + rollover, incl. fees), the same denominator as the headline. Exit debt is held constant across the grid — the paydown path depends on operations, not the purchase multiple.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</si>
</sst>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&quot;($&quot;#,##0.0\);\-"/>
    <numFmt numFmtId="166" formatCode="0.0%;\(0.0%\);\-"/>
    <numFmt numFmtId="167" formatCode="0"/>
    <numFmt numFmtId="168" formatCode="0.0\x"/>
    <numFmt numFmtId="169" formatCode="0.0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D6F5C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D6F5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D6F5C"/>
        <bgColor rgb="FF008080"/>
      </patternFill>
    </fill>
    <fill>
      <patternFill patternType="solid">
        <fgColor rgb="FFEFEFEF"/>
        <bgColor rgb="FFFFF2CC"/>
      </patternFill>
    </fill>
    <fill>
      <patternFill patternType="solid">
        <fgColor rgb="FFFFF2CC"/>
        <bgColor rgb="FFEFEFE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thin">
        <color rgb="FFB0B0B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5C"/>
      <rgbColor rgb="FFB0B0B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5" min="3" style="0" width="22"/>
    <col collapsed="false" customWidth="true" hidden="false" outlineLevel="0" max="6" min="6" style="0" width="20"/>
    <col collapsed="false" customWidth="true" hidden="false" outlineLevel="0" max="7" min="7" style="0" width="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4"/>
      <c r="C7" s="4"/>
      <c r="D7" s="4"/>
      <c r="E7" s="4"/>
      <c r="F7" s="4"/>
    </row>
    <row r="8" customFormat="false" ht="15" hidden="false" customHeight="false" outlineLevel="0" collapsed="false">
      <c r="B8" s="4"/>
      <c r="C8" s="4"/>
      <c r="D8" s="4"/>
      <c r="E8" s="4"/>
      <c r="F8" s="4"/>
    </row>
    <row r="9" customFormat="false" ht="15" hidden="false" customHeight="false" outlineLevel="0" collapsed="false">
      <c r="B9" s="4"/>
      <c r="C9" s="4"/>
      <c r="D9" s="4"/>
      <c r="E9" s="4"/>
      <c r="F9" s="4"/>
    </row>
    <row r="11" customFormat="false" ht="15" hidden="false" customHeight="false" outlineLevel="0" collapsed="false">
      <c r="B11" s="5" t="s">
        <v>4</v>
      </c>
    </row>
    <row r="12" customFormat="false" ht="15" hidden="false" customHeight="false" outlineLevel="0" collapsed="false">
      <c r="B12" s="6" t="s">
        <v>5</v>
      </c>
      <c r="C12" s="7" t="s">
        <v>6</v>
      </c>
      <c r="D12" s="7"/>
      <c r="E12" s="7"/>
      <c r="F12" s="7"/>
    </row>
    <row r="13" customFormat="false" ht="15" hidden="false" customHeight="false" outlineLevel="0" collapsed="false">
      <c r="B13" s="8" t="s">
        <v>7</v>
      </c>
      <c r="C13" s="7" t="s">
        <v>8</v>
      </c>
      <c r="D13" s="7"/>
      <c r="E13" s="7"/>
      <c r="F13" s="7"/>
    </row>
    <row r="14" customFormat="false" ht="15" hidden="false" customHeight="false" outlineLevel="0" collapsed="false">
      <c r="B14" s="9" t="s">
        <v>9</v>
      </c>
      <c r="C14" s="7" t="s">
        <v>10</v>
      </c>
      <c r="D14" s="7"/>
      <c r="E14" s="7"/>
      <c r="F14" s="7"/>
    </row>
    <row r="15" customFormat="false" ht="15" hidden="false" customHeight="false" outlineLevel="0" collapsed="false">
      <c r="B15" s="10" t="s">
        <v>11</v>
      </c>
      <c r="C15" s="7" t="s">
        <v>12</v>
      </c>
      <c r="D15" s="7"/>
      <c r="E15" s="7"/>
      <c r="F15" s="7"/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7" t="s">
        <v>14</v>
      </c>
      <c r="C18" s="7"/>
      <c r="D18" s="7"/>
      <c r="E18" s="7"/>
      <c r="F18" s="7"/>
    </row>
    <row r="19" customFormat="false" ht="15" hidden="false" customHeight="false" outlineLevel="0" collapsed="false">
      <c r="B19" s="7" t="s">
        <v>15</v>
      </c>
      <c r="C19" s="7"/>
      <c r="D19" s="7"/>
      <c r="E19" s="7"/>
      <c r="F19" s="7"/>
    </row>
    <row r="20" customFormat="false" ht="15" hidden="false" customHeight="false" outlineLevel="0" collapsed="false">
      <c r="B20" s="7" t="s">
        <v>16</v>
      </c>
      <c r="C20" s="7"/>
      <c r="D20" s="7"/>
      <c r="E20" s="7"/>
      <c r="F20" s="7"/>
    </row>
    <row r="21" customFormat="false" ht="15" hidden="false" customHeight="false" outlineLevel="0" collapsed="false">
      <c r="B21" s="7" t="s">
        <v>17</v>
      </c>
      <c r="C21" s="7"/>
      <c r="D21" s="7"/>
      <c r="E21" s="7"/>
      <c r="F21" s="7"/>
    </row>
    <row r="24" customFormat="false" ht="15" hidden="false" customHeight="false" outlineLevel="0" collapsed="false">
      <c r="B24" s="5" t="s">
        <v>18</v>
      </c>
    </row>
    <row r="25" customFormat="false" ht="15" hidden="false" customHeight="false" outlineLevel="0" collapsed="false">
      <c r="B25" s="8" t="s">
        <v>19</v>
      </c>
      <c r="C25" s="7" t="s">
        <v>20</v>
      </c>
      <c r="D25" s="7"/>
      <c r="E25" s="7"/>
      <c r="F25" s="7"/>
    </row>
    <row r="26" customFormat="false" ht="15" hidden="false" customHeight="false" outlineLevel="0" collapsed="false">
      <c r="B26" s="8" t="s">
        <v>21</v>
      </c>
      <c r="C26" s="7" t="s">
        <v>22</v>
      </c>
      <c r="D26" s="7"/>
      <c r="E26" s="7"/>
      <c r="F26" s="7"/>
    </row>
    <row r="27" customFormat="false" ht="15" hidden="false" customHeight="false" outlineLevel="0" collapsed="false">
      <c r="B27" s="8" t="s">
        <v>23</v>
      </c>
      <c r="C27" s="7" t="s">
        <v>24</v>
      </c>
      <c r="D27" s="7"/>
      <c r="E27" s="7"/>
      <c r="F27" s="7"/>
    </row>
    <row r="28" customFormat="false" ht="15" hidden="false" customHeight="false" outlineLevel="0" collapsed="false">
      <c r="B28" s="8" t="s">
        <v>25</v>
      </c>
      <c r="C28" s="7" t="s">
        <v>26</v>
      </c>
      <c r="D28" s="7"/>
      <c r="E28" s="7"/>
      <c r="F28" s="7"/>
    </row>
    <row r="29" customFormat="false" ht="15" hidden="false" customHeight="false" outlineLevel="0" collapsed="false">
      <c r="B29" s="8" t="s">
        <v>27</v>
      </c>
      <c r="C29" s="7" t="s">
        <v>28</v>
      </c>
      <c r="D29" s="7"/>
      <c r="E29" s="7"/>
      <c r="F29" s="7"/>
    </row>
    <row r="30" customFormat="false" ht="15" hidden="false" customHeight="false" outlineLevel="0" collapsed="false">
      <c r="B30" s="8" t="s">
        <v>29</v>
      </c>
      <c r="C30" s="7" t="s">
        <v>30</v>
      </c>
      <c r="D30" s="7"/>
      <c r="E30" s="7"/>
      <c r="F30" s="7"/>
    </row>
    <row r="31" customFormat="false" ht="15" hidden="false" customHeight="false" outlineLevel="0" collapsed="false">
      <c r="B31" s="8" t="s">
        <v>31</v>
      </c>
      <c r="C31" s="7" t="s">
        <v>32</v>
      </c>
      <c r="D31" s="7"/>
      <c r="E31" s="7"/>
      <c r="F31" s="7"/>
    </row>
    <row r="32" customFormat="false" ht="15" hidden="false" customHeight="false" outlineLevel="0" collapsed="false">
      <c r="B32" s="8" t="s">
        <v>33</v>
      </c>
      <c r="C32" s="7" t="s">
        <v>34</v>
      </c>
      <c r="D32" s="7"/>
      <c r="E32" s="7"/>
      <c r="F32" s="7"/>
    </row>
    <row r="35" customFormat="false" ht="15" hidden="false" customHeight="true" outlineLevel="0" collapsed="false">
      <c r="B35" s="11" t="s">
        <v>35</v>
      </c>
      <c r="C35" s="11"/>
      <c r="D35" s="11"/>
      <c r="E35" s="11"/>
      <c r="F35" s="11"/>
    </row>
    <row r="36" customFormat="false" ht="15" hidden="false" customHeight="false" outlineLevel="0" collapsed="false">
      <c r="B36" s="11"/>
      <c r="C36" s="11"/>
      <c r="D36" s="11"/>
      <c r="E36" s="11"/>
      <c r="F36" s="11"/>
    </row>
    <row r="37" customFormat="false" ht="15" hidden="false" customHeight="false" outlineLevel="0" collapsed="false">
      <c r="B37" s="11"/>
      <c r="C37" s="11"/>
      <c r="D37" s="11"/>
      <c r="E37" s="11"/>
      <c r="F37" s="11"/>
    </row>
  </sheetData>
  <mergeCells count="18">
    <mergeCell ref="B6:F9"/>
    <mergeCell ref="C12:F12"/>
    <mergeCell ref="C13:F13"/>
    <mergeCell ref="C14:F14"/>
    <mergeCell ref="C15:F15"/>
    <mergeCell ref="B18:F18"/>
    <mergeCell ref="B19:F19"/>
    <mergeCell ref="B20:F20"/>
    <mergeCell ref="B21:F21"/>
    <mergeCell ref="C25:F25"/>
    <mergeCell ref="C26:F26"/>
    <mergeCell ref="C27:F27"/>
    <mergeCell ref="C28:F28"/>
    <mergeCell ref="C29:F29"/>
    <mergeCell ref="C30:F30"/>
    <mergeCell ref="C31:F31"/>
    <mergeCell ref="C32:F32"/>
    <mergeCell ref="B35:F3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13" t="s">
        <v>37</v>
      </c>
      <c r="B3" s="13"/>
      <c r="C3" s="13"/>
      <c r="D3" s="13"/>
      <c r="E3" s="13"/>
      <c r="F3" s="13"/>
      <c r="G3" s="13"/>
      <c r="H3" s="13"/>
    </row>
    <row r="4" customFormat="false" ht="15" hidden="false" customHeight="false" outlineLevel="0" collapsed="false">
      <c r="A4" s="14"/>
      <c r="B4" s="15" t="s">
        <v>38</v>
      </c>
      <c r="C4" s="15" t="s">
        <v>39</v>
      </c>
      <c r="D4" s="15" t="s">
        <v>40</v>
      </c>
      <c r="E4" s="14"/>
      <c r="F4" s="14"/>
      <c r="G4" s="14"/>
      <c r="H4" s="14" t="s">
        <v>41</v>
      </c>
    </row>
    <row r="5" customFormat="false" ht="15" hidden="false" customHeight="false" outlineLevel="0" collapsed="false">
      <c r="A5" s="8" t="s">
        <v>42</v>
      </c>
      <c r="B5" s="16" t="n">
        <v>289</v>
      </c>
      <c r="C5" s="16" t="n">
        <v>303.5</v>
      </c>
      <c r="D5" s="16" t="n">
        <v>320</v>
      </c>
      <c r="H5" s="3" t="s">
        <v>43</v>
      </c>
    </row>
    <row r="6" customFormat="false" ht="15" hidden="false" customHeight="false" outlineLevel="0" collapsed="false">
      <c r="A6" s="17" t="s">
        <v>44</v>
      </c>
      <c r="B6" s="16" t="n">
        <v>-189</v>
      </c>
      <c r="C6" s="16" t="n">
        <v>-198.3</v>
      </c>
      <c r="D6" s="16" t="n">
        <v>-208</v>
      </c>
      <c r="H6" s="3" t="s">
        <v>45</v>
      </c>
    </row>
    <row r="7" customFormat="false" ht="15" hidden="false" customHeight="false" outlineLevel="0" collapsed="false">
      <c r="A7" s="8" t="s">
        <v>46</v>
      </c>
      <c r="B7" s="18" t="n">
        <f aca="false">B5+B6</f>
        <v>100</v>
      </c>
      <c r="C7" s="18" t="n">
        <f aca="false">C5+C6</f>
        <v>105.2</v>
      </c>
      <c r="D7" s="18" t="n">
        <f aca="false">D5+D6</f>
        <v>112</v>
      </c>
      <c r="H7" s="3" t="s">
        <v>47</v>
      </c>
    </row>
    <row r="8" customFormat="false" ht="15" hidden="false" customHeight="false" outlineLevel="0" collapsed="false">
      <c r="A8" s="19" t="s">
        <v>48</v>
      </c>
      <c r="B8" s="20" t="n">
        <f aca="false">B7/B5</f>
        <v>0.346020761245675</v>
      </c>
      <c r="C8" s="20" t="n">
        <f aca="false">C7/C5</f>
        <v>0.34662273476112</v>
      </c>
      <c r="D8" s="20" t="n">
        <f aca="false">D7/D5</f>
        <v>0.35</v>
      </c>
      <c r="H8" s="3" t="s">
        <v>49</v>
      </c>
    </row>
    <row r="9" customFormat="false" ht="15" hidden="false" customHeight="false" outlineLevel="0" collapsed="false">
      <c r="A9" s="17" t="s">
        <v>50</v>
      </c>
      <c r="B9" s="16" t="n">
        <v>-49.5</v>
      </c>
      <c r="C9" s="16" t="n">
        <v>-51</v>
      </c>
      <c r="D9" s="16" t="n">
        <v>-54</v>
      </c>
      <c r="H9" s="3" t="s">
        <v>51</v>
      </c>
    </row>
    <row r="10" customFormat="false" ht="15" hidden="false" customHeight="false" outlineLevel="0" collapsed="false">
      <c r="A10" s="8" t="s">
        <v>52</v>
      </c>
      <c r="B10" s="21" t="n">
        <f aca="false">B7+B9</f>
        <v>50.5</v>
      </c>
      <c r="C10" s="21" t="n">
        <f aca="false">C7+C9</f>
        <v>54.2</v>
      </c>
      <c r="D10" s="21" t="n">
        <f aca="false">D7+D9</f>
        <v>58</v>
      </c>
      <c r="H10" s="3" t="s">
        <v>53</v>
      </c>
    </row>
    <row r="11" customFormat="false" ht="15" hidden="false" customHeight="false" outlineLevel="0" collapsed="false">
      <c r="A11" s="19" t="s">
        <v>54</v>
      </c>
      <c r="B11" s="20" t="n">
        <f aca="false">B10/B5</f>
        <v>0.174740484429066</v>
      </c>
      <c r="C11" s="20" t="n">
        <f aca="false">C10/C5</f>
        <v>0.178583196046128</v>
      </c>
      <c r="D11" s="20" t="n">
        <f aca="false">D10/D5</f>
        <v>0.18125</v>
      </c>
      <c r="H11" s="3" t="s">
        <v>55</v>
      </c>
    </row>
    <row r="12" customFormat="false" ht="15" hidden="false" customHeight="false" outlineLevel="0" collapsed="false">
      <c r="A12" s="8" t="s">
        <v>56</v>
      </c>
      <c r="B12" s="16" t="n">
        <v>9.5</v>
      </c>
      <c r="C12" s="16" t="n">
        <v>9.9</v>
      </c>
      <c r="D12" s="16" t="n">
        <v>10.4</v>
      </c>
      <c r="H12" s="3" t="s">
        <v>57</v>
      </c>
    </row>
    <row r="13" customFormat="false" ht="15" hidden="false" customHeight="false" outlineLevel="0" collapsed="false">
      <c r="A13" s="8" t="s">
        <v>58</v>
      </c>
      <c r="B13" s="16" t="n">
        <v>11.6</v>
      </c>
      <c r="C13" s="16" t="n">
        <v>12.1</v>
      </c>
      <c r="D13" s="16" t="n">
        <v>12.8</v>
      </c>
      <c r="H13" s="3" t="s">
        <v>59</v>
      </c>
    </row>
    <row r="14" customFormat="false" ht="15" hidden="false" customHeight="false" outlineLevel="0" collapsed="false">
      <c r="A14" s="19" t="s">
        <v>60</v>
      </c>
      <c r="C14" s="20" t="n">
        <f aca="false">C5/B5-1</f>
        <v>0.0501730103806228</v>
      </c>
      <c r="D14" s="20" t="n">
        <f aca="false">D5/C5-1</f>
        <v>0.0543657331136738</v>
      </c>
    </row>
    <row r="16" customFormat="false" ht="15" hidden="false" customHeight="false" outlineLevel="0" collapsed="false">
      <c r="A16" s="13" t="s">
        <v>61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4"/>
      <c r="B17" s="15" t="s">
        <v>62</v>
      </c>
      <c r="C17" s="15" t="s">
        <v>63</v>
      </c>
      <c r="D17" s="15" t="s">
        <v>64</v>
      </c>
      <c r="E17" s="15" t="s">
        <v>65</v>
      </c>
      <c r="F17" s="15" t="s">
        <v>66</v>
      </c>
      <c r="G17" s="14"/>
      <c r="H17" s="14" t="s">
        <v>67</v>
      </c>
    </row>
    <row r="18" customFormat="false" ht="15" hidden="false" customHeight="false" outlineLevel="0" collapsed="false">
      <c r="A18" s="17" t="s">
        <v>68</v>
      </c>
      <c r="B18" s="22" t="n">
        <v>0.055</v>
      </c>
      <c r="C18" s="22" t="n">
        <v>0.06</v>
      </c>
      <c r="D18" s="22" t="n">
        <v>0.06</v>
      </c>
      <c r="E18" s="22" t="n">
        <v>0.055</v>
      </c>
      <c r="F18" s="22" t="n">
        <v>0.05</v>
      </c>
      <c r="H18" s="3" t="s">
        <v>69</v>
      </c>
    </row>
    <row r="19" customFormat="false" ht="15" hidden="false" customHeight="false" outlineLevel="0" collapsed="false">
      <c r="A19" s="17" t="s">
        <v>70</v>
      </c>
      <c r="B19" s="23" t="n">
        <v>0.35</v>
      </c>
      <c r="C19" s="23" t="n">
        <v>0.352</v>
      </c>
      <c r="D19" s="23" t="n">
        <v>0.354</v>
      </c>
      <c r="E19" s="23" t="n">
        <v>0.355</v>
      </c>
      <c r="F19" s="23" t="n">
        <v>0.355</v>
      </c>
      <c r="H19" s="3" t="s">
        <v>71</v>
      </c>
    </row>
    <row r="20" customFormat="false" ht="15" hidden="false" customHeight="false" outlineLevel="0" collapsed="false">
      <c r="A20" s="17" t="s">
        <v>72</v>
      </c>
      <c r="B20" s="23" t="n">
        <v>0.168</v>
      </c>
      <c r="C20" s="23" t="n">
        <v>0.166</v>
      </c>
      <c r="D20" s="23" t="n">
        <v>0.164</v>
      </c>
      <c r="E20" s="23" t="n">
        <v>0.163</v>
      </c>
      <c r="F20" s="23" t="n">
        <v>0.162</v>
      </c>
      <c r="H20" s="3" t="s">
        <v>73</v>
      </c>
    </row>
    <row r="21" customFormat="false" ht="15" hidden="false" customHeight="false" outlineLevel="0" collapsed="false">
      <c r="A21" s="17" t="s">
        <v>74</v>
      </c>
      <c r="B21" s="23" t="n">
        <v>0.12</v>
      </c>
      <c r="C21" s="23" t="n">
        <v>0.12</v>
      </c>
      <c r="D21" s="23" t="n">
        <v>0.12</v>
      </c>
      <c r="E21" s="23" t="n">
        <v>0.12</v>
      </c>
      <c r="F21" s="23" t="n">
        <v>0.12</v>
      </c>
      <c r="H21" s="3" t="s">
        <v>75</v>
      </c>
    </row>
    <row r="22" customFormat="false" ht="15" hidden="false" customHeight="false" outlineLevel="0" collapsed="false">
      <c r="A22" s="17" t="s">
        <v>76</v>
      </c>
      <c r="B22" s="23" t="n">
        <v>0.04</v>
      </c>
      <c r="C22" s="23" t="n">
        <v>0.04</v>
      </c>
      <c r="D22" s="23" t="n">
        <v>0.039</v>
      </c>
      <c r="E22" s="23" t="n">
        <v>0.038</v>
      </c>
      <c r="F22" s="23" t="n">
        <v>0.038</v>
      </c>
      <c r="H22" s="3" t="s">
        <v>77</v>
      </c>
    </row>
    <row r="23" customFormat="false" ht="15" hidden="false" customHeight="false" outlineLevel="0" collapsed="false">
      <c r="A23" s="17" t="s">
        <v>78</v>
      </c>
      <c r="B23" s="23" t="n">
        <v>0.25</v>
      </c>
      <c r="C23" s="23" t="n">
        <v>0.25</v>
      </c>
      <c r="D23" s="23" t="n">
        <v>0.25</v>
      </c>
      <c r="E23" s="23" t="n">
        <v>0.25</v>
      </c>
      <c r="F23" s="23" t="n">
        <v>0.25</v>
      </c>
      <c r="H23" s="3" t="s">
        <v>79</v>
      </c>
    </row>
    <row r="25" customFormat="false" ht="15" hidden="false" customHeight="false" outlineLevel="0" collapsed="false">
      <c r="A25" s="13" t="s">
        <v>80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4"/>
      <c r="B26" s="15" t="s">
        <v>81</v>
      </c>
      <c r="C26" s="14"/>
      <c r="D26" s="14"/>
      <c r="E26" s="14"/>
      <c r="F26" s="14"/>
      <c r="G26" s="14"/>
      <c r="H26" s="14" t="s">
        <v>82</v>
      </c>
    </row>
    <row r="27" customFormat="false" ht="15" hidden="false" customHeight="false" outlineLevel="0" collapsed="false">
      <c r="A27" s="17" t="s">
        <v>83</v>
      </c>
      <c r="B27" s="24" t="n">
        <v>55</v>
      </c>
      <c r="H27" s="3" t="s">
        <v>84</v>
      </c>
    </row>
    <row r="28" customFormat="false" ht="15" hidden="false" customHeight="false" outlineLevel="0" collapsed="false">
      <c r="A28" s="17" t="s">
        <v>85</v>
      </c>
      <c r="B28" s="24" t="n">
        <v>85</v>
      </c>
      <c r="H28" s="3" t="s">
        <v>86</v>
      </c>
    </row>
    <row r="29" customFormat="false" ht="15" hidden="false" customHeight="false" outlineLevel="0" collapsed="false">
      <c r="A29" s="17" t="s">
        <v>87</v>
      </c>
      <c r="B29" s="24" t="n">
        <v>45</v>
      </c>
      <c r="H29" s="3" t="s">
        <v>88</v>
      </c>
    </row>
    <row r="30" customFormat="false" ht="15" hidden="false" customHeight="false" outlineLevel="0" collapsed="false">
      <c r="A30" s="17" t="s">
        <v>89</v>
      </c>
      <c r="B30" s="16" t="n">
        <v>85</v>
      </c>
      <c r="H30" s="3" t="s">
        <v>90</v>
      </c>
    </row>
    <row r="32" customFormat="false" ht="15" hidden="false" customHeight="false" outlineLevel="0" collapsed="false">
      <c r="A32" s="13" t="s">
        <v>91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7" t="s">
        <v>92</v>
      </c>
      <c r="B33" s="25" t="n">
        <v>9</v>
      </c>
      <c r="H33" s="3" t="s">
        <v>93</v>
      </c>
    </row>
    <row r="34" customFormat="false" ht="15" hidden="false" customHeight="false" outlineLevel="0" collapsed="false">
      <c r="A34" s="17" t="s">
        <v>94</v>
      </c>
      <c r="B34" s="25" t="n">
        <v>5</v>
      </c>
      <c r="H34" s="3" t="s">
        <v>95</v>
      </c>
    </row>
    <row r="35" customFormat="false" ht="15" hidden="false" customHeight="false" outlineLevel="0" collapsed="false">
      <c r="A35" s="17" t="s">
        <v>96</v>
      </c>
      <c r="B35" s="22" t="n">
        <v>0.085</v>
      </c>
      <c r="H35" s="3" t="s">
        <v>97</v>
      </c>
    </row>
    <row r="36" customFormat="false" ht="15" hidden="false" customHeight="false" outlineLevel="0" collapsed="false">
      <c r="A36" s="17" t="s">
        <v>98</v>
      </c>
      <c r="B36" s="25" t="n">
        <v>9</v>
      </c>
      <c r="H36" s="3" t="s">
        <v>99</v>
      </c>
    </row>
    <row r="37" customFormat="false" ht="15" hidden="false" customHeight="false" outlineLevel="0" collapsed="false">
      <c r="A37" s="17" t="s">
        <v>100</v>
      </c>
      <c r="B37" s="26" t="n">
        <v>5</v>
      </c>
      <c r="H37" s="3" t="s">
        <v>101</v>
      </c>
    </row>
    <row r="38" customFormat="false" ht="15" hidden="false" customHeight="false" outlineLevel="0" collapsed="false">
      <c r="A38" s="17" t="s">
        <v>102</v>
      </c>
      <c r="B38" s="22" t="n">
        <v>0.025</v>
      </c>
      <c r="H38" s="3" t="s">
        <v>103</v>
      </c>
    </row>
    <row r="39" customFormat="false" ht="15" hidden="false" customHeight="false" outlineLevel="0" collapsed="false">
      <c r="A39" s="17" t="s">
        <v>104</v>
      </c>
      <c r="B39" s="22" t="n">
        <v>0.02</v>
      </c>
      <c r="H39" s="3" t="s">
        <v>105</v>
      </c>
    </row>
    <row r="40" customFormat="false" ht="15" hidden="false" customHeight="false" outlineLevel="0" collapsed="false">
      <c r="A40" s="17" t="s">
        <v>106</v>
      </c>
      <c r="B40" s="27" t="n">
        <v>12</v>
      </c>
      <c r="H40" s="3" t="s">
        <v>107</v>
      </c>
    </row>
  </sheetData>
  <mergeCells count="1">
    <mergeCell ref="A1:H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1.75" hidden="false" customHeight="true" outlineLevel="0" collapsed="false">
      <c r="A1" s="12" t="s">
        <v>108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28" t="s">
        <v>109</v>
      </c>
      <c r="B2" s="28"/>
      <c r="C2" s="28"/>
      <c r="D2" s="28"/>
      <c r="E2" s="28"/>
      <c r="F2" s="28"/>
    </row>
    <row r="4" customFormat="false" ht="15" hidden="false" customHeight="false" outlineLevel="0" collapsed="false">
      <c r="A4" s="29" t="s">
        <v>110</v>
      </c>
      <c r="B4" s="30" t="s">
        <v>38</v>
      </c>
      <c r="C4" s="30" t="s">
        <v>39</v>
      </c>
      <c r="D4" s="30" t="s">
        <v>40</v>
      </c>
      <c r="E4" s="29" t="s">
        <v>111</v>
      </c>
      <c r="F4" s="29" t="s">
        <v>112</v>
      </c>
    </row>
    <row r="5" customFormat="false" ht="15" hidden="false" customHeight="false" outlineLevel="0" collapsed="false">
      <c r="A5" s="8" t="s">
        <v>113</v>
      </c>
      <c r="B5" s="31" t="n">
        <v>47.5</v>
      </c>
      <c r="C5" s="31" t="n">
        <v>51</v>
      </c>
      <c r="D5" s="31" t="n">
        <v>54</v>
      </c>
    </row>
    <row r="6" customFormat="false" ht="15" hidden="false" customHeight="false" outlineLevel="0" collapsed="false">
      <c r="A6" s="17" t="s">
        <v>114</v>
      </c>
      <c r="B6" s="31" t="n">
        <v>1.8</v>
      </c>
      <c r="C6" s="31" t="n">
        <v>2</v>
      </c>
      <c r="D6" s="31" t="n">
        <v>2.5</v>
      </c>
      <c r="E6" s="32" t="s">
        <v>115</v>
      </c>
      <c r="F6" s="32" t="s">
        <v>116</v>
      </c>
    </row>
    <row r="7" customFormat="false" ht="15" hidden="false" customHeight="false" outlineLevel="0" collapsed="false">
      <c r="A7" s="17" t="s">
        <v>117</v>
      </c>
      <c r="B7" s="31" t="n">
        <v>0</v>
      </c>
      <c r="C7" s="31" t="n">
        <v>0</v>
      </c>
      <c r="D7" s="31" t="n">
        <v>1.2</v>
      </c>
      <c r="E7" s="32" t="s">
        <v>118</v>
      </c>
      <c r="F7" s="32" t="s">
        <v>119</v>
      </c>
    </row>
    <row r="8" customFormat="false" ht="15" hidden="false" customHeight="false" outlineLevel="0" collapsed="false">
      <c r="A8" s="17" t="s">
        <v>120</v>
      </c>
      <c r="B8" s="31" t="n">
        <v>0.8</v>
      </c>
      <c r="C8" s="31" t="n">
        <v>0.7</v>
      </c>
      <c r="D8" s="31" t="n">
        <v>0.3</v>
      </c>
      <c r="E8" s="32" t="s">
        <v>115</v>
      </c>
      <c r="F8" s="32" t="s">
        <v>121</v>
      </c>
    </row>
    <row r="9" customFormat="false" ht="15" hidden="false" customHeight="false" outlineLevel="0" collapsed="false">
      <c r="A9" s="17" t="s">
        <v>122</v>
      </c>
      <c r="B9" s="31" t="n">
        <v>0.4</v>
      </c>
      <c r="C9" s="31" t="n">
        <v>0.5</v>
      </c>
      <c r="D9" s="31" t="n">
        <v>0</v>
      </c>
      <c r="E9" s="32" t="s">
        <v>123</v>
      </c>
      <c r="F9" s="32" t="s">
        <v>124</v>
      </c>
    </row>
    <row r="10" customFormat="false" ht="15" hidden="false" customHeight="false" outlineLevel="0" collapsed="false">
      <c r="A10" s="8" t="s">
        <v>125</v>
      </c>
      <c r="B10" s="33" t="n">
        <f aca="false">SUM(B6:B9)</f>
        <v>3</v>
      </c>
      <c r="C10" s="33" t="n">
        <f aca="false">SUM(C6:C9)</f>
        <v>3.2</v>
      </c>
      <c r="D10" s="33" t="n">
        <f aca="false">SUM(D6:D9)</f>
        <v>4</v>
      </c>
    </row>
    <row r="11" customFormat="false" ht="15" hidden="false" customHeight="false" outlineLevel="0" collapsed="false">
      <c r="A11" s="8" t="s">
        <v>52</v>
      </c>
      <c r="B11" s="34" t="n">
        <f aca="false">B5+B10</f>
        <v>50.5</v>
      </c>
      <c r="C11" s="34" t="n">
        <f aca="false">C5+C10</f>
        <v>54.2</v>
      </c>
      <c r="D11" s="34" t="n">
        <f aca="false">D5+D10</f>
        <v>58</v>
      </c>
    </row>
    <row r="12" customFormat="false" ht="15" hidden="false" customHeight="false" outlineLevel="0" collapsed="false">
      <c r="A12" s="19" t="s">
        <v>126</v>
      </c>
      <c r="B12" s="35" t="n">
        <f aca="false">B11/Assumptions!B5</f>
        <v>0.174740484429066</v>
      </c>
      <c r="C12" s="35" t="n">
        <f aca="false">C11/Assumptions!C5</f>
        <v>0.178583196046129</v>
      </c>
      <c r="D12" s="35" t="n">
        <f aca="false">D11/Assumptions!D5</f>
        <v>0.18125</v>
      </c>
    </row>
    <row r="13" customFormat="false" ht="15" hidden="false" customHeight="false" outlineLevel="0" collapsed="false">
      <c r="A13" s="19" t="s">
        <v>127</v>
      </c>
      <c r="B13" s="35" t="n">
        <f aca="false">B11/B5-1</f>
        <v>0.0631578947368421</v>
      </c>
      <c r="C13" s="35" t="n">
        <f aca="false">C11/C5-1</f>
        <v>0.0627450980392157</v>
      </c>
      <c r="D13" s="35" t="n">
        <f aca="false">D11/D5-1</f>
        <v>0.0740740740740742</v>
      </c>
    </row>
    <row r="15" customFormat="false" ht="15" hidden="false" customHeight="false" outlineLevel="0" collapsed="false">
      <c r="A15" s="8" t="s">
        <v>128</v>
      </c>
      <c r="B15" s="36" t="n">
        <f aca="false">B11-Assumptions!B10</f>
        <v>0</v>
      </c>
      <c r="C15" s="36" t="n">
        <f aca="false">C11-Assumptions!C10</f>
        <v>0</v>
      </c>
      <c r="D15" s="36" t="n">
        <f aca="false">D11-Assumptions!D10</f>
        <v>0</v>
      </c>
      <c r="E15" s="37" t="s">
        <v>129</v>
      </c>
      <c r="F15" s="37"/>
    </row>
    <row r="17" customFormat="false" ht="15" hidden="false" customHeight="true" outlineLevel="0" collapsed="false">
      <c r="A17" s="38" t="s">
        <v>130</v>
      </c>
      <c r="B17" s="38"/>
      <c r="C17" s="38"/>
      <c r="D17" s="38"/>
      <c r="E17" s="38"/>
      <c r="F17" s="38"/>
    </row>
    <row r="18" customFormat="false" ht="15" hidden="false" customHeight="false" outlineLevel="0" collapsed="false">
      <c r="A18" s="38"/>
      <c r="B18" s="38"/>
      <c r="C18" s="38"/>
      <c r="D18" s="38"/>
      <c r="E18" s="38"/>
      <c r="F18" s="38"/>
    </row>
  </sheetData>
  <mergeCells count="4">
    <mergeCell ref="A1:F1"/>
    <mergeCell ref="A2:F2"/>
    <mergeCell ref="E15:F15"/>
    <mergeCell ref="A17:F1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21.75" hidden="false" customHeight="true" outlineLevel="0" collapsed="false">
      <c r="A1" s="12" t="s">
        <v>131</v>
      </c>
      <c r="B1" s="12"/>
      <c r="C1" s="12"/>
      <c r="D1" s="12"/>
      <c r="E1" s="12"/>
      <c r="F1" s="12"/>
      <c r="G1" s="12"/>
      <c r="H1" s="12"/>
      <c r="I1" s="12"/>
    </row>
    <row r="3" customFormat="false" ht="15" hidden="false" customHeight="false" outlineLevel="0" collapsed="false">
      <c r="B3" s="39" t="s">
        <v>132</v>
      </c>
      <c r="C3" s="39"/>
      <c r="D3" s="39"/>
      <c r="E3" s="39" t="s">
        <v>133</v>
      </c>
      <c r="F3" s="39"/>
      <c r="G3" s="39"/>
      <c r="H3" s="39"/>
      <c r="I3" s="39"/>
    </row>
    <row r="4" customFormat="false" ht="15" hidden="false" customHeight="false" outlineLevel="0" collapsed="false">
      <c r="A4" s="29" t="s">
        <v>110</v>
      </c>
      <c r="B4" s="30" t="s">
        <v>38</v>
      </c>
      <c r="C4" s="30" t="s">
        <v>39</v>
      </c>
      <c r="D4" s="30" t="s">
        <v>40</v>
      </c>
      <c r="E4" s="30" t="s">
        <v>62</v>
      </c>
      <c r="F4" s="30" t="s">
        <v>63</v>
      </c>
      <c r="G4" s="30" t="s">
        <v>64</v>
      </c>
      <c r="H4" s="30" t="s">
        <v>65</v>
      </c>
      <c r="I4" s="30" t="s">
        <v>66</v>
      </c>
    </row>
    <row r="5" customFormat="false" ht="15" hidden="false" customHeight="false" outlineLevel="0" collapsed="false">
      <c r="A5" s="8" t="s">
        <v>42</v>
      </c>
      <c r="B5" s="40" t="n">
        <f aca="false">Assumptions!B5</f>
        <v>289</v>
      </c>
      <c r="C5" s="40" t="n">
        <f aca="false">Assumptions!C5</f>
        <v>303.5</v>
      </c>
      <c r="D5" s="40" t="n">
        <f aca="false">Assumptions!D5</f>
        <v>320</v>
      </c>
      <c r="E5" s="36" t="n">
        <f aca="false">D5*(1+Assumptions!B18)</f>
        <v>337.6</v>
      </c>
      <c r="F5" s="36" t="n">
        <f aca="false">E5*(1+Assumptions!C18)</f>
        <v>357.856</v>
      </c>
      <c r="G5" s="36" t="n">
        <f aca="false">F5*(1+Assumptions!D18)</f>
        <v>379.32736</v>
      </c>
      <c r="H5" s="36" t="n">
        <f aca="false">G5*(1+Assumptions!E18)</f>
        <v>400.1903648</v>
      </c>
      <c r="I5" s="36" t="n">
        <f aca="false">H5*(1+Assumptions!F18)</f>
        <v>420.19988304</v>
      </c>
    </row>
    <row r="6" customFormat="false" ht="15" hidden="false" customHeight="false" outlineLevel="0" collapsed="false">
      <c r="A6" s="17" t="s">
        <v>134</v>
      </c>
      <c r="C6" s="35" t="n">
        <f aca="false">C5/B5-1</f>
        <v>0.0501730103806228</v>
      </c>
      <c r="D6" s="35" t="n">
        <f aca="false">D5/C5-1</f>
        <v>0.0543657331136738</v>
      </c>
      <c r="E6" s="35" t="n">
        <f aca="false">E5/D5-1</f>
        <v>0.0549999999999999</v>
      </c>
      <c r="F6" s="35" t="n">
        <f aca="false">F5/E5-1</f>
        <v>0.0600000000000001</v>
      </c>
      <c r="G6" s="35" t="n">
        <f aca="false">G5/F5-1</f>
        <v>0.0600000000000001</v>
      </c>
      <c r="H6" s="35" t="n">
        <f aca="false">H5/G5-1</f>
        <v>0.0549999999999999</v>
      </c>
      <c r="I6" s="35" t="n">
        <f aca="false">I5/H5-1</f>
        <v>0.05</v>
      </c>
    </row>
    <row r="7" customFormat="false" ht="15" hidden="false" customHeight="false" outlineLevel="0" collapsed="false">
      <c r="A7" s="17" t="s">
        <v>44</v>
      </c>
      <c r="B7" s="41" t="n">
        <f aca="false">Assumptions!B6</f>
        <v>-189</v>
      </c>
      <c r="C7" s="41" t="n">
        <f aca="false">Assumptions!C6</f>
        <v>-198.3</v>
      </c>
      <c r="D7" s="41" t="n">
        <f aca="false">Assumptions!D6</f>
        <v>-208</v>
      </c>
      <c r="E7" s="42" t="n">
        <f aca="false">-(E5*(1-Assumptions!B19))</f>
        <v>-219.44</v>
      </c>
      <c r="F7" s="42" t="n">
        <f aca="false">-(F5*(1-Assumptions!C19))</f>
        <v>-231.890688</v>
      </c>
      <c r="G7" s="42" t="n">
        <f aca="false">-(G5*(1-Assumptions!D19))</f>
        <v>-245.04547456</v>
      </c>
      <c r="H7" s="42" t="n">
        <f aca="false">-(H5*(1-Assumptions!E19))</f>
        <v>-258.122785296</v>
      </c>
      <c r="I7" s="42" t="n">
        <f aca="false">-(I5*(1-Assumptions!F19))</f>
        <v>-271.0289245608</v>
      </c>
    </row>
    <row r="8" customFormat="false" ht="15" hidden="false" customHeight="false" outlineLevel="0" collapsed="false">
      <c r="A8" s="8" t="s">
        <v>46</v>
      </c>
      <c r="B8" s="33" t="n">
        <f aca="false">B5+B7</f>
        <v>100</v>
      </c>
      <c r="C8" s="33" t="n">
        <f aca="false">C5+C7</f>
        <v>105.2</v>
      </c>
      <c r="D8" s="33" t="n">
        <f aca="false">D5+D7</f>
        <v>112</v>
      </c>
      <c r="E8" s="33" t="n">
        <f aca="false">E5+E7</f>
        <v>118.16</v>
      </c>
      <c r="F8" s="33" t="n">
        <f aca="false">F5+F7</f>
        <v>125.965312</v>
      </c>
      <c r="G8" s="33" t="n">
        <f aca="false">G5+G7</f>
        <v>134.28188544</v>
      </c>
      <c r="H8" s="33" t="n">
        <f aca="false">H5+H7</f>
        <v>142.067579504</v>
      </c>
      <c r="I8" s="33" t="n">
        <f aca="false">I5+I7</f>
        <v>149.1709584792</v>
      </c>
    </row>
    <row r="9" customFormat="false" ht="15" hidden="false" customHeight="false" outlineLevel="0" collapsed="false">
      <c r="A9" s="17" t="s">
        <v>135</v>
      </c>
      <c r="B9" s="35" t="n">
        <f aca="false">B8/B5</f>
        <v>0.346020761245675</v>
      </c>
      <c r="C9" s="35" t="n">
        <f aca="false">C8/C5</f>
        <v>0.34662273476112</v>
      </c>
      <c r="D9" s="35" t="n">
        <f aca="false">D8/D5</f>
        <v>0.35</v>
      </c>
      <c r="E9" s="35" t="n">
        <f aca="false">E8/E5</f>
        <v>0.35</v>
      </c>
      <c r="F9" s="35" t="n">
        <f aca="false">F8/F5</f>
        <v>0.352</v>
      </c>
      <c r="G9" s="35" t="n">
        <f aca="false">G8/G5</f>
        <v>0.354</v>
      </c>
      <c r="H9" s="35" t="n">
        <f aca="false">H8/H5</f>
        <v>0.355</v>
      </c>
      <c r="I9" s="35" t="n">
        <f aca="false">I8/I5</f>
        <v>0.355</v>
      </c>
    </row>
    <row r="10" customFormat="false" ht="15" hidden="false" customHeight="false" outlineLevel="0" collapsed="false">
      <c r="A10" s="17" t="s">
        <v>50</v>
      </c>
      <c r="B10" s="41" t="n">
        <f aca="false">Assumptions!B9</f>
        <v>-49.5</v>
      </c>
      <c r="C10" s="41" t="n">
        <f aca="false">Assumptions!C9</f>
        <v>-51</v>
      </c>
      <c r="D10" s="41" t="n">
        <f aca="false">Assumptions!D9</f>
        <v>-54</v>
      </c>
      <c r="E10" s="42" t="n">
        <f aca="false">-(E5*Assumptions!B20)</f>
        <v>-56.7168</v>
      </c>
      <c r="F10" s="42" t="n">
        <f aca="false">-(F5*Assumptions!C20)</f>
        <v>-59.404096</v>
      </c>
      <c r="G10" s="42" t="n">
        <f aca="false">-(G5*Assumptions!D20)</f>
        <v>-62.20968704</v>
      </c>
      <c r="H10" s="42" t="n">
        <f aca="false">-(H5*Assumptions!E20)</f>
        <v>-65.2310294624</v>
      </c>
      <c r="I10" s="42" t="n">
        <f aca="false">-(I5*Assumptions!F20)</f>
        <v>-68.07238105248</v>
      </c>
    </row>
    <row r="11" customFormat="false" ht="15" hidden="false" customHeight="false" outlineLevel="0" collapsed="false">
      <c r="A11" s="8" t="s">
        <v>136</v>
      </c>
      <c r="B11" s="33" t="n">
        <f aca="false">B8+B10</f>
        <v>50.5</v>
      </c>
      <c r="C11" s="33" t="n">
        <f aca="false">C8+C10</f>
        <v>54.2</v>
      </c>
      <c r="D11" s="33" t="n">
        <f aca="false">D8+D10</f>
        <v>58</v>
      </c>
      <c r="E11" s="33" t="n">
        <f aca="false">E8+E10</f>
        <v>61.4432</v>
      </c>
      <c r="F11" s="33" t="n">
        <f aca="false">F8+F10</f>
        <v>66.561216</v>
      </c>
      <c r="G11" s="33" t="n">
        <f aca="false">G8+G10</f>
        <v>72.0721984</v>
      </c>
      <c r="H11" s="33" t="n">
        <f aca="false">H8+H10</f>
        <v>76.8365500416</v>
      </c>
      <c r="I11" s="33" t="n">
        <f aca="false">I8+I10</f>
        <v>81.09857742672</v>
      </c>
    </row>
    <row r="12" customFormat="false" ht="15" hidden="false" customHeight="false" outlineLevel="0" collapsed="false">
      <c r="A12" s="17" t="s">
        <v>54</v>
      </c>
      <c r="B12" s="35" t="n">
        <f aca="false">B11/B5</f>
        <v>0.174740484429066</v>
      </c>
      <c r="C12" s="35" t="n">
        <f aca="false">C11/C5</f>
        <v>0.178583196046128</v>
      </c>
      <c r="D12" s="35" t="n">
        <f aca="false">D11/D5</f>
        <v>0.18125</v>
      </c>
      <c r="E12" s="35" t="n">
        <f aca="false">E11/E5</f>
        <v>0.182</v>
      </c>
      <c r="F12" s="35" t="n">
        <f aca="false">F11/F5</f>
        <v>0.186</v>
      </c>
      <c r="G12" s="35" t="n">
        <f aca="false">G11/G5</f>
        <v>0.19</v>
      </c>
      <c r="H12" s="35" t="n">
        <f aca="false">H11/H5</f>
        <v>0.192</v>
      </c>
      <c r="I12" s="35" t="n">
        <f aca="false">I11/I5</f>
        <v>0.193</v>
      </c>
    </row>
    <row r="13" customFormat="false" ht="15" hidden="false" customHeight="false" outlineLevel="0" collapsed="false">
      <c r="A13" s="17" t="s">
        <v>137</v>
      </c>
      <c r="B13" s="41" t="n">
        <f aca="false">-Assumptions!B12</f>
        <v>-9.5</v>
      </c>
      <c r="C13" s="41" t="n">
        <f aca="false">-Assumptions!C12</f>
        <v>-9.9</v>
      </c>
      <c r="D13" s="41" t="n">
        <f aca="false">-Assumptions!D12</f>
        <v>-10.4</v>
      </c>
      <c r="E13" s="42" t="n">
        <f aca="false">-'Balance Sheet'!C15</f>
        <v>-10.2</v>
      </c>
      <c r="F13" s="42" t="n">
        <f aca="false">-'Balance Sheet'!D15</f>
        <v>-10.59648</v>
      </c>
      <c r="G13" s="42" t="n">
        <f aca="false">-'Balance Sheet'!E15</f>
        <v>-11.0426112</v>
      </c>
      <c r="H13" s="42" t="n">
        <f aca="false">-'Balance Sheet'!F15</f>
        <v>-11.4927499008</v>
      </c>
      <c r="I13" s="42" t="n">
        <f aca="false">-'Balance Sheet'!G15</f>
        <v>-11.938487976192</v>
      </c>
    </row>
    <row r="14" customFormat="false" ht="15" hidden="false" customHeight="false" outlineLevel="0" collapsed="false">
      <c r="A14" s="8" t="s">
        <v>138</v>
      </c>
      <c r="B14" s="33" t="n">
        <f aca="false">B11+B13</f>
        <v>41</v>
      </c>
      <c r="C14" s="33" t="n">
        <f aca="false">C11+C13</f>
        <v>44.3</v>
      </c>
      <c r="D14" s="33" t="n">
        <f aca="false">D11+D13</f>
        <v>47.6</v>
      </c>
      <c r="E14" s="33" t="n">
        <f aca="false">E11+E13</f>
        <v>51.2432</v>
      </c>
      <c r="F14" s="33" t="n">
        <f aca="false">F11+F13</f>
        <v>55.964736</v>
      </c>
      <c r="G14" s="33" t="n">
        <f aca="false">G11+G13</f>
        <v>61.0295872</v>
      </c>
      <c r="H14" s="33" t="n">
        <f aca="false">H11+H13</f>
        <v>65.3438001408</v>
      </c>
      <c r="I14" s="33" t="n">
        <f aca="false">I11+I13</f>
        <v>69.160089450528</v>
      </c>
    </row>
    <row r="15" customFormat="false" ht="15" hidden="false" customHeight="false" outlineLevel="0" collapsed="false">
      <c r="A15" s="17" t="s">
        <v>139</v>
      </c>
      <c r="B15" s="35" t="n">
        <f aca="false">B14/B5</f>
        <v>0.141868512110727</v>
      </c>
      <c r="C15" s="35" t="n">
        <f aca="false">C14/C5</f>
        <v>0.145963756177924</v>
      </c>
      <c r="D15" s="35" t="n">
        <f aca="false">D14/D5</f>
        <v>0.14875</v>
      </c>
      <c r="E15" s="35" t="n">
        <f aca="false">E14/E5</f>
        <v>0.15178672985782</v>
      </c>
      <c r="F15" s="35" t="n">
        <f aca="false">F14/F5</f>
        <v>0.15638898327819</v>
      </c>
      <c r="G15" s="35" t="n">
        <f aca="false">G14/G5</f>
        <v>0.160888967249818</v>
      </c>
      <c r="H15" s="35" t="n">
        <f aca="false">H14/H5</f>
        <v>0.163281792587526</v>
      </c>
      <c r="I15" s="35" t="n">
        <f aca="false">I14/I5</f>
        <v>0.164588549978117</v>
      </c>
    </row>
    <row r="16" customFormat="false" ht="15" hidden="false" customHeight="false" outlineLevel="0" collapsed="false">
      <c r="A16" s="17" t="s">
        <v>140</v>
      </c>
      <c r="E16" s="42" t="n">
        <f aca="false">-'Debt Schedule'!C14</f>
        <v>-24.65</v>
      </c>
      <c r="F16" s="42" t="n">
        <f aca="false">-'Debt Schedule'!D14</f>
        <v>-23.5675125410959</v>
      </c>
      <c r="G16" s="42" t="n">
        <f aca="false">-'Debt Schedule'!E14</f>
        <v>-22.1936214447688</v>
      </c>
      <c r="H16" s="42" t="n">
        <f aca="false">-'Debt Schedule'!F14</f>
        <v>-20.4342244970235</v>
      </c>
      <c r="I16" s="42" t="n">
        <f aca="false">-'Debt Schedule'!G14</f>
        <v>-18.2760041698726</v>
      </c>
    </row>
    <row r="17" customFormat="false" ht="15" hidden="false" customHeight="false" outlineLevel="0" collapsed="false">
      <c r="A17" s="8" t="s">
        <v>141</v>
      </c>
      <c r="B17" s="43"/>
      <c r="C17" s="43"/>
      <c r="D17" s="43"/>
      <c r="E17" s="33" t="n">
        <f aca="false">E14+E16</f>
        <v>26.5932</v>
      </c>
      <c r="F17" s="33" t="n">
        <f aca="false">F14+F16</f>
        <v>32.3972234589041</v>
      </c>
      <c r="G17" s="33" t="n">
        <f aca="false">G14+G16</f>
        <v>38.8359657552312</v>
      </c>
      <c r="H17" s="33" t="n">
        <f aca="false">H14+H16</f>
        <v>44.9095756437764</v>
      </c>
      <c r="I17" s="33" t="n">
        <f aca="false">I14+I16</f>
        <v>50.8840852806554</v>
      </c>
    </row>
    <row r="18" customFormat="false" ht="15" hidden="false" customHeight="false" outlineLevel="0" collapsed="false">
      <c r="A18" s="17" t="s">
        <v>142</v>
      </c>
      <c r="E18" s="42" t="n">
        <f aca="false">-MAX(E17,0)*Assumptions!B23</f>
        <v>-6.64829999999999</v>
      </c>
      <c r="F18" s="42" t="n">
        <f aca="false">-MAX(F17,0)*Assumptions!C23</f>
        <v>-8.09930586472602</v>
      </c>
      <c r="G18" s="42" t="n">
        <f aca="false">-MAX(G17,0)*Assumptions!D23</f>
        <v>-9.70899143880779</v>
      </c>
      <c r="H18" s="42" t="n">
        <f aca="false">-MAX(H17,0)*Assumptions!E23</f>
        <v>-11.2273939109441</v>
      </c>
      <c r="I18" s="42" t="n">
        <f aca="false">-MAX(I17,0)*Assumptions!F23</f>
        <v>-12.7210213201638</v>
      </c>
    </row>
    <row r="19" customFormat="false" ht="15" hidden="false" customHeight="false" outlineLevel="0" collapsed="false">
      <c r="A19" s="8" t="s">
        <v>143</v>
      </c>
      <c r="B19" s="43"/>
      <c r="C19" s="43"/>
      <c r="D19" s="43"/>
      <c r="E19" s="33" t="n">
        <f aca="false">E17+E18</f>
        <v>19.9449</v>
      </c>
      <c r="F19" s="33" t="n">
        <f aca="false">F17+F18</f>
        <v>24.2979175941781</v>
      </c>
      <c r="G19" s="33" t="n">
        <f aca="false">G17+G18</f>
        <v>29.1269743164234</v>
      </c>
      <c r="H19" s="33" t="n">
        <f aca="false">H17+H18</f>
        <v>33.6821817328323</v>
      </c>
      <c r="I19" s="33" t="n">
        <f aca="false">I17+I18</f>
        <v>38.1630639604915</v>
      </c>
    </row>
    <row r="20" customFormat="false" ht="15" hidden="false" customHeight="false" outlineLevel="0" collapsed="false">
      <c r="A20" s="17" t="s">
        <v>144</v>
      </c>
      <c r="E20" s="35" t="n">
        <f aca="false">E19/E5</f>
        <v>0.0590784952606635</v>
      </c>
      <c r="F20" s="35" t="n">
        <f aca="false">F19/F5</f>
        <v>0.0678985893604636</v>
      </c>
      <c r="G20" s="35" t="n">
        <f aca="false">G19/G5</f>
        <v>0.0767858514514307</v>
      </c>
      <c r="H20" s="35" t="n">
        <f aca="false">H19/H5</f>
        <v>0.0841653990087078</v>
      </c>
      <c r="I20" s="35" t="n">
        <f aca="false">I19/I5</f>
        <v>0.090821215095052</v>
      </c>
    </row>
    <row r="22" customFormat="false" ht="15" hidden="false" customHeight="false" outlineLevel="0" collapsed="false">
      <c r="A22" s="28" t="s">
        <v>145</v>
      </c>
      <c r="B22" s="28"/>
      <c r="C22" s="28"/>
      <c r="D22" s="28"/>
      <c r="E22" s="28"/>
      <c r="F22" s="28"/>
      <c r="G22" s="28"/>
      <c r="H22" s="28"/>
      <c r="I22" s="28"/>
    </row>
    <row r="23" customFormat="false" ht="15" hidden="false" customHeight="false" outlineLevel="0" collapsed="false">
      <c r="A23" s="28" t="s">
        <v>146</v>
      </c>
      <c r="B23" s="28"/>
      <c r="C23" s="28"/>
      <c r="D23" s="28"/>
      <c r="E23" s="28"/>
      <c r="F23" s="28"/>
      <c r="G23" s="28"/>
      <c r="H23" s="28"/>
      <c r="I23" s="28"/>
    </row>
  </sheetData>
  <mergeCells count="5">
    <mergeCell ref="A1:I1"/>
    <mergeCell ref="B3:D3"/>
    <mergeCell ref="E3:I3"/>
    <mergeCell ref="A22:I22"/>
    <mergeCell ref="A23:I2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1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2" t="s">
        <v>147</v>
      </c>
      <c r="B1" s="12"/>
      <c r="C1" s="12"/>
      <c r="D1" s="12"/>
      <c r="E1" s="12"/>
      <c r="F1" s="12"/>
      <c r="G1" s="12"/>
    </row>
    <row r="2" customFormat="false" ht="15" hidden="false" customHeight="false" outlineLevel="0" collapsed="false">
      <c r="A2" s="28" t="s">
        <v>148</v>
      </c>
      <c r="B2" s="28"/>
      <c r="C2" s="28"/>
      <c r="D2" s="28"/>
      <c r="E2" s="28"/>
      <c r="F2" s="28"/>
      <c r="G2" s="28"/>
      <c r="H2" s="28"/>
    </row>
    <row r="4" customFormat="false" ht="15" hidden="false" customHeight="false" outlineLevel="0" collapsed="false">
      <c r="A4" s="13" t="s">
        <v>149</v>
      </c>
      <c r="B4" s="44"/>
      <c r="C4" s="44"/>
      <c r="D4" s="44"/>
      <c r="E4" s="44"/>
      <c r="F4" s="44"/>
      <c r="G4" s="44"/>
    </row>
    <row r="5" customFormat="false" ht="15" hidden="false" customHeight="false" outlineLevel="0" collapsed="false">
      <c r="A5" s="29" t="s">
        <v>110</v>
      </c>
      <c r="B5" s="30" t="s">
        <v>40</v>
      </c>
      <c r="C5" s="30" t="s">
        <v>62</v>
      </c>
      <c r="D5" s="30" t="s">
        <v>63</v>
      </c>
      <c r="E5" s="30" t="s">
        <v>64</v>
      </c>
      <c r="F5" s="30" t="s">
        <v>65</v>
      </c>
      <c r="G5" s="30" t="s">
        <v>66</v>
      </c>
    </row>
    <row r="6" customFormat="false" ht="15" hidden="false" customHeight="false" outlineLevel="0" collapsed="false">
      <c r="A6" s="17" t="s">
        <v>150</v>
      </c>
      <c r="B6" s="42" t="n">
        <f aca="false">Assumptions!$B$27/365*'Income Statement'!D5</f>
        <v>48.2191780821918</v>
      </c>
      <c r="C6" s="42" t="n">
        <f aca="false">Assumptions!$B$27/365*'Income Statement'!E5</f>
        <v>50.8712328767123</v>
      </c>
      <c r="D6" s="42" t="n">
        <f aca="false">Assumptions!$B$27/365*'Income Statement'!F5</f>
        <v>53.9235068493151</v>
      </c>
      <c r="E6" s="42" t="n">
        <f aca="false">Assumptions!$B$27/365*'Income Statement'!G5</f>
        <v>57.158917260274</v>
      </c>
      <c r="F6" s="42" t="n">
        <f aca="false">Assumptions!$B$27/365*'Income Statement'!H5</f>
        <v>60.302657709589</v>
      </c>
      <c r="G6" s="42" t="n">
        <f aca="false">Assumptions!$B$27/365*'Income Statement'!I5</f>
        <v>63.3177905950685</v>
      </c>
    </row>
    <row r="7" customFormat="false" ht="15" hidden="false" customHeight="false" outlineLevel="0" collapsed="false">
      <c r="A7" s="17" t="s">
        <v>151</v>
      </c>
      <c r="B7" s="42" t="n">
        <f aca="false">Assumptions!$B$28/365*(-'Income Statement'!D7)</f>
        <v>48.4383561643836</v>
      </c>
      <c r="C7" s="42" t="n">
        <f aca="false">Assumptions!$B$28/365*(-'Income Statement'!E7)</f>
        <v>51.1024657534247</v>
      </c>
      <c r="D7" s="42" t="n">
        <f aca="false">Assumptions!$B$28/365*(-'Income Statement'!F7)</f>
        <v>54.0019410410959</v>
      </c>
      <c r="E7" s="42" t="n">
        <f aca="false">Assumptions!$B$28/365*(-'Income Statement'!G7)</f>
        <v>57.0653844865753</v>
      </c>
      <c r="F7" s="42" t="n">
        <f aca="false">Assumptions!$B$28/365*(-'Income Statement'!H7)</f>
        <v>60.1107856168767</v>
      </c>
      <c r="G7" s="42" t="n">
        <f aca="false">Assumptions!$B$28/365*(-'Income Statement'!I7)</f>
        <v>63.1163248977206</v>
      </c>
    </row>
    <row r="8" customFormat="false" ht="15" hidden="false" customHeight="false" outlineLevel="0" collapsed="false">
      <c r="A8" s="17" t="s">
        <v>152</v>
      </c>
      <c r="B8" s="42" t="n">
        <f aca="false">Assumptions!$B$29/365*(-'Income Statement'!D7)</f>
        <v>25.6438356164384</v>
      </c>
      <c r="C8" s="42" t="n">
        <f aca="false">Assumptions!$B$29/365*(-'Income Statement'!E7)</f>
        <v>27.0542465753425</v>
      </c>
      <c r="D8" s="42" t="n">
        <f aca="false">Assumptions!$B$29/365*(-'Income Statement'!F7)</f>
        <v>28.5892629041096</v>
      </c>
      <c r="E8" s="42" t="n">
        <f aca="false">Assumptions!$B$29/365*(-'Income Statement'!G7)</f>
        <v>30.2110859046575</v>
      </c>
      <c r="F8" s="42" t="n">
        <f aca="false">Assumptions!$B$29/365*(-'Income Statement'!H7)</f>
        <v>31.8233570912877</v>
      </c>
      <c r="G8" s="42" t="n">
        <f aca="false">Assumptions!$B$29/365*(-'Income Statement'!I7)</f>
        <v>33.4145249458521</v>
      </c>
    </row>
    <row r="9" customFormat="false" ht="15" hidden="false" customHeight="false" outlineLevel="0" collapsed="false">
      <c r="A9" s="8" t="s">
        <v>153</v>
      </c>
      <c r="B9" s="33" t="n">
        <f aca="false">B6+B7-B8</f>
        <v>71.013698630137</v>
      </c>
      <c r="C9" s="33" t="n">
        <f aca="false">C6+C7-C8</f>
        <v>74.9194520547945</v>
      </c>
      <c r="D9" s="33" t="n">
        <f aca="false">D6+D7-D8</f>
        <v>79.3361849863014</v>
      </c>
      <c r="E9" s="33" t="n">
        <f aca="false">E6+E7-E8</f>
        <v>84.0132158421918</v>
      </c>
      <c r="F9" s="33" t="n">
        <f aca="false">F6+F7-F8</f>
        <v>88.5900862351781</v>
      </c>
      <c r="G9" s="33" t="n">
        <f aca="false">G6+G7-G8</f>
        <v>93.019590546937</v>
      </c>
    </row>
    <row r="10" customFormat="false" ht="15" hidden="false" customHeight="false" outlineLevel="0" collapsed="false">
      <c r="A10" s="17" t="s">
        <v>154</v>
      </c>
      <c r="C10" s="42" t="n">
        <f aca="false">-(C9-B9)</f>
        <v>-3.90575342465753</v>
      </c>
      <c r="D10" s="42" t="n">
        <f aca="false">-(D9-C9)</f>
        <v>-4.41673293150687</v>
      </c>
      <c r="E10" s="42" t="n">
        <f aca="false">-(E9-D9)</f>
        <v>-4.67703085589039</v>
      </c>
      <c r="F10" s="42" t="n">
        <f aca="false">-(F9-E9)</f>
        <v>-4.57687039298629</v>
      </c>
      <c r="G10" s="42" t="n">
        <f aca="false">-(G9-F9)</f>
        <v>-4.42950431175893</v>
      </c>
    </row>
    <row r="12" customFormat="false" ht="15" hidden="false" customHeight="false" outlineLevel="0" collapsed="false">
      <c r="A12" s="13" t="s">
        <v>155</v>
      </c>
      <c r="B12" s="44"/>
      <c r="C12" s="44"/>
      <c r="D12" s="44"/>
      <c r="E12" s="44"/>
      <c r="F12" s="44"/>
      <c r="G12" s="44"/>
    </row>
    <row r="13" customFormat="false" ht="15" hidden="false" customHeight="false" outlineLevel="0" collapsed="false">
      <c r="A13" s="17" t="s">
        <v>156</v>
      </c>
      <c r="C13" s="42" t="n">
        <f aca="false">Assumptions!$B$30</f>
        <v>85</v>
      </c>
      <c r="D13" s="42" t="n">
        <f aca="false">C16</f>
        <v>88.304</v>
      </c>
      <c r="E13" s="42" t="n">
        <f aca="false">D16</f>
        <v>92.02176</v>
      </c>
      <c r="F13" s="42" t="n">
        <f aca="false">E16</f>
        <v>95.77291584</v>
      </c>
      <c r="G13" s="42" t="n">
        <f aca="false">F16</f>
        <v>99.4873998016</v>
      </c>
    </row>
    <row r="14" customFormat="false" ht="15" hidden="false" customHeight="false" outlineLevel="0" collapsed="false">
      <c r="A14" s="17" t="s">
        <v>157</v>
      </c>
      <c r="C14" s="42" t="n">
        <f aca="false">Assumptions!B22*'Income Statement'!E5</f>
        <v>13.504</v>
      </c>
      <c r="D14" s="42" t="n">
        <f aca="false">Assumptions!C22*'Income Statement'!F5</f>
        <v>14.31424</v>
      </c>
      <c r="E14" s="42" t="n">
        <f aca="false">Assumptions!D22*'Income Statement'!G5</f>
        <v>14.79376704</v>
      </c>
      <c r="F14" s="42" t="n">
        <f aca="false">Assumptions!E22*'Income Statement'!H5</f>
        <v>15.2072338624</v>
      </c>
      <c r="G14" s="42" t="n">
        <f aca="false">Assumptions!F22*'Income Statement'!I5</f>
        <v>15.96759555552</v>
      </c>
    </row>
    <row r="15" customFormat="false" ht="15" hidden="false" customHeight="false" outlineLevel="0" collapsed="false">
      <c r="A15" s="17" t="s">
        <v>158</v>
      </c>
      <c r="C15" s="42" t="n">
        <f aca="false">Assumptions!B21*C13</f>
        <v>10.2</v>
      </c>
      <c r="D15" s="42" t="n">
        <f aca="false">Assumptions!C21*D13</f>
        <v>10.59648</v>
      </c>
      <c r="E15" s="42" t="n">
        <f aca="false">Assumptions!D21*E13</f>
        <v>11.0426112</v>
      </c>
      <c r="F15" s="42" t="n">
        <f aca="false">Assumptions!E21*F13</f>
        <v>11.4927499008</v>
      </c>
      <c r="G15" s="42" t="n">
        <f aca="false">Assumptions!F21*G13</f>
        <v>11.938487976192</v>
      </c>
    </row>
    <row r="16" customFormat="false" ht="15" hidden="false" customHeight="false" outlineLevel="0" collapsed="false">
      <c r="A16" s="8" t="s">
        <v>159</v>
      </c>
      <c r="B16" s="33" t="n">
        <f aca="false">Assumptions!$B$30</f>
        <v>85</v>
      </c>
      <c r="C16" s="33" t="n">
        <f aca="false">C13+C14-C15</f>
        <v>88.304</v>
      </c>
      <c r="D16" s="33" t="n">
        <f aca="false">D13+D14-D15</f>
        <v>92.02176</v>
      </c>
      <c r="E16" s="33" t="n">
        <f aca="false">E13+E14-E15</f>
        <v>95.77291584</v>
      </c>
      <c r="F16" s="33" t="n">
        <f aca="false">F13+F14-F15</f>
        <v>99.4873998016</v>
      </c>
      <c r="G16" s="33" t="n">
        <f aca="false">G13+G14-G15</f>
        <v>103.516507380928</v>
      </c>
    </row>
    <row r="18" customFormat="false" ht="15" hidden="false" customHeight="false" outlineLevel="0" collapsed="false">
      <c r="A18" s="13" t="s">
        <v>160</v>
      </c>
      <c r="B18" s="44"/>
      <c r="C18" s="44"/>
      <c r="D18" s="44"/>
      <c r="E18" s="44"/>
      <c r="F18" s="44"/>
      <c r="G18" s="44"/>
    </row>
    <row r="19" customFormat="false" ht="15" hidden="false" customHeight="false" outlineLevel="0" collapsed="false">
      <c r="A19" s="17" t="s">
        <v>161</v>
      </c>
      <c r="B19" s="42" t="n">
        <f aca="false">B9</f>
        <v>71.013698630137</v>
      </c>
      <c r="C19" s="42" t="n">
        <f aca="false">C9</f>
        <v>74.9194520547945</v>
      </c>
      <c r="D19" s="42" t="n">
        <f aca="false">D9</f>
        <v>79.3361849863014</v>
      </c>
      <c r="E19" s="42" t="n">
        <f aca="false">E9</f>
        <v>84.0132158421918</v>
      </c>
      <c r="F19" s="42" t="n">
        <f aca="false">F9</f>
        <v>88.5900862351781</v>
      </c>
      <c r="G19" s="42" t="n">
        <f aca="false">G9</f>
        <v>93.019590546937</v>
      </c>
    </row>
    <row r="20" customFormat="false" ht="15" hidden="false" customHeight="false" outlineLevel="0" collapsed="false">
      <c r="A20" s="17" t="s">
        <v>162</v>
      </c>
      <c r="B20" s="42" t="n">
        <f aca="false">B16</f>
        <v>85</v>
      </c>
      <c r="C20" s="42" t="n">
        <f aca="false">C16</f>
        <v>88.304</v>
      </c>
      <c r="D20" s="42" t="n">
        <f aca="false">D16</f>
        <v>92.02176</v>
      </c>
      <c r="E20" s="42" t="n">
        <f aca="false">E16</f>
        <v>95.77291584</v>
      </c>
      <c r="F20" s="42" t="n">
        <f aca="false">F16</f>
        <v>99.4873998016</v>
      </c>
      <c r="G20" s="42" t="n">
        <f aca="false">G16</f>
        <v>103.516507380928</v>
      </c>
    </row>
    <row r="21" customFormat="false" ht="15" hidden="false" customHeight="false" outlineLevel="0" collapsed="false">
      <c r="A21" s="8" t="s">
        <v>163</v>
      </c>
      <c r="B21" s="33" t="n">
        <f aca="false">B19+B20</f>
        <v>156.013698630137</v>
      </c>
      <c r="C21" s="33" t="n">
        <f aca="false">C19+C20</f>
        <v>163.223452054795</v>
      </c>
      <c r="D21" s="33" t="n">
        <f aca="false">D19+D20</f>
        <v>171.357944986301</v>
      </c>
      <c r="E21" s="33" t="n">
        <f aca="false">E19+E20</f>
        <v>179.786131682192</v>
      </c>
      <c r="F21" s="33" t="n">
        <f aca="false">F19+F20</f>
        <v>188.077486036778</v>
      </c>
      <c r="G21" s="33" t="n">
        <f aca="false">G19+G20</f>
        <v>196.536097927865</v>
      </c>
    </row>
    <row r="23" customFormat="false" ht="15" hidden="false" customHeight="false" outlineLevel="0" collapsed="false">
      <c r="A23" s="28" t="s">
        <v>164</v>
      </c>
      <c r="B23" s="28"/>
      <c r="C23" s="28"/>
      <c r="D23" s="28"/>
      <c r="E23" s="28"/>
      <c r="F23" s="28"/>
      <c r="G23" s="28"/>
      <c r="H23" s="28"/>
    </row>
    <row r="24" customFormat="false" ht="15" hidden="false" customHeight="false" outlineLevel="0" collapsed="false">
      <c r="A24" s="28" t="s">
        <v>165</v>
      </c>
      <c r="B24" s="28"/>
      <c r="C24" s="28"/>
      <c r="D24" s="28"/>
      <c r="E24" s="28"/>
      <c r="F24" s="28"/>
      <c r="G24" s="28"/>
      <c r="H24" s="28"/>
    </row>
  </sheetData>
  <mergeCells count="4">
    <mergeCell ref="A1:G1"/>
    <mergeCell ref="A2:H2"/>
    <mergeCell ref="A23:H23"/>
    <mergeCell ref="A24:H2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0"/>
  </cols>
  <sheetData>
    <row r="1" customFormat="false" ht="21.75" hidden="false" customHeight="true" outlineLevel="0" collapsed="false">
      <c r="A1" s="12" t="s">
        <v>166</v>
      </c>
      <c r="B1" s="12"/>
      <c r="C1" s="12"/>
    </row>
    <row r="2" customFormat="false" ht="15" hidden="false" customHeight="false" outlineLevel="0" collapsed="false">
      <c r="A2" s="28" t="s">
        <v>167</v>
      </c>
      <c r="B2" s="28"/>
      <c r="C2" s="28"/>
    </row>
    <row r="4" customFormat="false" ht="15" hidden="false" customHeight="false" outlineLevel="0" collapsed="false">
      <c r="A4" s="13" t="s">
        <v>168</v>
      </c>
      <c r="B4" s="44"/>
      <c r="C4" s="44"/>
    </row>
    <row r="5" customFormat="false" ht="15" hidden="false" customHeight="false" outlineLevel="0" collapsed="false">
      <c r="A5" s="17" t="s">
        <v>169</v>
      </c>
      <c r="B5" s="42" t="n">
        <f aca="false">Assumptions!$D$10</f>
        <v>58</v>
      </c>
      <c r="C5" s="3" t="s">
        <v>170</v>
      </c>
    </row>
    <row r="6" customFormat="false" ht="15" hidden="false" customHeight="false" outlineLevel="0" collapsed="false">
      <c r="A6" s="17" t="s">
        <v>171</v>
      </c>
      <c r="B6" s="45" t="n">
        <f aca="false">Assumptions!$B$33</f>
        <v>9</v>
      </c>
      <c r="C6" s="3" t="s">
        <v>93</v>
      </c>
    </row>
    <row r="7" customFormat="false" ht="15" hidden="false" customHeight="false" outlineLevel="0" collapsed="false">
      <c r="A7" s="8" t="s">
        <v>172</v>
      </c>
      <c r="B7" s="36" t="n">
        <f aca="false">B6*B5</f>
        <v>522</v>
      </c>
      <c r="C7" s="3" t="s">
        <v>173</v>
      </c>
    </row>
    <row r="9" customFormat="false" ht="15" hidden="false" customHeight="false" outlineLevel="0" collapsed="false">
      <c r="A9" s="13" t="s">
        <v>174</v>
      </c>
      <c r="B9" s="44"/>
      <c r="C9" s="44"/>
    </row>
    <row r="10" customFormat="false" ht="15" hidden="false" customHeight="false" outlineLevel="0" collapsed="false">
      <c r="A10" s="17" t="s">
        <v>175</v>
      </c>
      <c r="B10" s="42" t="n">
        <f aca="false">B7</f>
        <v>522</v>
      </c>
      <c r="C10" s="3" t="s">
        <v>176</v>
      </c>
    </row>
    <row r="11" customFormat="false" ht="15" hidden="false" customHeight="false" outlineLevel="0" collapsed="false">
      <c r="A11" s="17" t="s">
        <v>177</v>
      </c>
      <c r="B11" s="42" t="n">
        <f aca="false">Assumptions!$B$38*B7</f>
        <v>13.05</v>
      </c>
      <c r="C11" s="3" t="s">
        <v>103</v>
      </c>
    </row>
    <row r="12" customFormat="false" ht="15" hidden="false" customHeight="false" outlineLevel="0" collapsed="false">
      <c r="A12" s="17" t="s">
        <v>178</v>
      </c>
      <c r="B12" s="42" t="n">
        <f aca="false">Assumptions!$B$39*(Assumptions!$B$34*Assumptions!$D$10)</f>
        <v>5.8</v>
      </c>
      <c r="C12" s="3" t="s">
        <v>179</v>
      </c>
    </row>
    <row r="13" customFormat="false" ht="15" hidden="false" customHeight="false" outlineLevel="0" collapsed="false">
      <c r="A13" s="8" t="s">
        <v>180</v>
      </c>
      <c r="B13" s="46" t="n">
        <f aca="false">SUM(B10:B12)</f>
        <v>540.85</v>
      </c>
    </row>
    <row r="15" customFormat="false" ht="15" hidden="false" customHeight="false" outlineLevel="0" collapsed="false">
      <c r="A15" s="13" t="s">
        <v>181</v>
      </c>
      <c r="B15" s="44"/>
      <c r="C15" s="44"/>
    </row>
    <row r="16" customFormat="false" ht="15" hidden="false" customHeight="false" outlineLevel="0" collapsed="false">
      <c r="A16" s="17" t="s">
        <v>182</v>
      </c>
      <c r="B16" s="42" t="n">
        <f aca="false">Assumptions!$B$34*Assumptions!$D$10</f>
        <v>290</v>
      </c>
      <c r="C16" s="3" t="s">
        <v>183</v>
      </c>
    </row>
    <row r="17" customFormat="false" ht="15" hidden="false" customHeight="false" outlineLevel="0" collapsed="false">
      <c r="A17" s="17" t="s">
        <v>184</v>
      </c>
      <c r="B17" s="42" t="n">
        <f aca="false">Assumptions!$B$40</f>
        <v>12</v>
      </c>
      <c r="C17" s="3" t="s">
        <v>107</v>
      </c>
    </row>
    <row r="18" customFormat="false" ht="15" hidden="false" customHeight="false" outlineLevel="0" collapsed="false">
      <c r="A18" s="17" t="s">
        <v>185</v>
      </c>
      <c r="B18" s="42" t="n">
        <f aca="false">B13-B16-B17</f>
        <v>238.85</v>
      </c>
      <c r="C18" s="3" t="s">
        <v>186</v>
      </c>
    </row>
    <row r="19" customFormat="false" ht="15" hidden="false" customHeight="false" outlineLevel="0" collapsed="false">
      <c r="A19" s="8" t="s">
        <v>187</v>
      </c>
      <c r="B19" s="46" t="n">
        <f aca="false">SUM(B16:B18)</f>
        <v>540.85</v>
      </c>
    </row>
    <row r="21" customFormat="false" ht="15" hidden="false" customHeight="false" outlineLevel="0" collapsed="false">
      <c r="A21" s="8" t="s">
        <v>188</v>
      </c>
      <c r="B21" s="36" t="n">
        <f aca="false">B19-B13</f>
        <v>0</v>
      </c>
      <c r="C21" s="47" t="s">
        <v>189</v>
      </c>
    </row>
    <row r="23" customFormat="false" ht="15" hidden="false" customHeight="false" outlineLevel="0" collapsed="false">
      <c r="A23" s="13" t="s">
        <v>190</v>
      </c>
      <c r="B23" s="44"/>
      <c r="C23" s="44"/>
    </row>
    <row r="24" customFormat="false" ht="15" hidden="false" customHeight="false" outlineLevel="0" collapsed="false">
      <c r="A24" s="17" t="s">
        <v>191</v>
      </c>
      <c r="B24" s="42" t="n">
        <f aca="false">B13</f>
        <v>540.85</v>
      </c>
    </row>
    <row r="25" customFormat="false" ht="15" hidden="false" customHeight="false" outlineLevel="0" collapsed="false">
      <c r="A25" s="17" t="s">
        <v>192</v>
      </c>
      <c r="B25" s="35" t="n">
        <f aca="false">B16/B13</f>
        <v>0.536193029490617</v>
      </c>
    </row>
    <row r="26" customFormat="false" ht="15" hidden="false" customHeight="false" outlineLevel="0" collapsed="false">
      <c r="A26" s="17" t="s">
        <v>193</v>
      </c>
      <c r="B26" s="35" t="n">
        <f aca="false">(B17+B18)/B13</f>
        <v>0.463806970509383</v>
      </c>
    </row>
    <row r="27" customFormat="false" ht="15" hidden="false" customHeight="false" outlineLevel="0" collapsed="false">
      <c r="A27" s="8" t="s">
        <v>194</v>
      </c>
      <c r="B27" s="36" t="n">
        <f aca="false">B18</f>
        <v>238.85</v>
      </c>
      <c r="C27" s="3" t="s">
        <v>195</v>
      </c>
    </row>
    <row r="29" customFormat="false" ht="15" hidden="false" customHeight="true" outlineLevel="0" collapsed="false">
      <c r="A29" s="38" t="s">
        <v>196</v>
      </c>
      <c r="B29" s="38"/>
      <c r="C29" s="38"/>
    </row>
    <row r="30" customFormat="false" ht="15" hidden="false" customHeight="false" outlineLevel="0" collapsed="false">
      <c r="A30" s="38"/>
      <c r="B30" s="38"/>
      <c r="C30" s="38"/>
    </row>
  </sheetData>
  <mergeCells count="3">
    <mergeCell ref="A1:C1"/>
    <mergeCell ref="A2:C2"/>
    <mergeCell ref="A29:C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2" t="s">
        <v>197</v>
      </c>
      <c r="B1" s="12"/>
      <c r="C1" s="12"/>
      <c r="D1" s="12"/>
      <c r="E1" s="12"/>
      <c r="F1" s="12"/>
      <c r="G1" s="12"/>
    </row>
    <row r="2" customFormat="false" ht="15" hidden="false" customHeight="false" outlineLevel="0" collapsed="false">
      <c r="A2" s="28" t="s">
        <v>198</v>
      </c>
      <c r="B2" s="28"/>
      <c r="C2" s="28"/>
      <c r="D2" s="28"/>
      <c r="E2" s="28"/>
      <c r="F2" s="28"/>
      <c r="G2" s="28"/>
      <c r="H2" s="28"/>
    </row>
    <row r="4" customFormat="false" ht="15" hidden="false" customHeight="false" outlineLevel="0" collapsed="false">
      <c r="A4" s="29" t="s">
        <v>110</v>
      </c>
      <c r="B4" s="30" t="s">
        <v>199</v>
      </c>
      <c r="C4" s="30" t="s">
        <v>62</v>
      </c>
      <c r="D4" s="30" t="s">
        <v>63</v>
      </c>
      <c r="E4" s="30" t="s">
        <v>64</v>
      </c>
      <c r="F4" s="30" t="s">
        <v>65</v>
      </c>
      <c r="G4" s="30" t="s">
        <v>66</v>
      </c>
    </row>
    <row r="5" customFormat="false" ht="15" hidden="false" customHeight="false" outlineLevel="0" collapsed="false">
      <c r="A5" s="13" t="s">
        <v>200</v>
      </c>
      <c r="B5" s="44"/>
      <c r="C5" s="44"/>
      <c r="D5" s="44"/>
      <c r="E5" s="44"/>
      <c r="F5" s="44"/>
      <c r="G5" s="44"/>
    </row>
    <row r="6" customFormat="false" ht="15" hidden="false" customHeight="false" outlineLevel="0" collapsed="false">
      <c r="A6" s="17" t="s">
        <v>201</v>
      </c>
      <c r="C6" s="42" t="n">
        <f aca="false">'Income Statement'!E19</f>
        <v>19.9449</v>
      </c>
      <c r="D6" s="42" t="n">
        <f aca="false">'Income Statement'!F19</f>
        <v>24.2979175941781</v>
      </c>
      <c r="E6" s="42" t="n">
        <f aca="false">'Income Statement'!G19</f>
        <v>29.1269743164234</v>
      </c>
      <c r="F6" s="42" t="n">
        <f aca="false">'Income Statement'!H19</f>
        <v>33.6821817328323</v>
      </c>
      <c r="G6" s="42" t="n">
        <f aca="false">'Income Statement'!I19</f>
        <v>38.1630639604915</v>
      </c>
    </row>
    <row r="7" customFormat="false" ht="15" hidden="false" customHeight="false" outlineLevel="0" collapsed="false">
      <c r="A7" s="17" t="s">
        <v>202</v>
      </c>
      <c r="C7" s="42" t="n">
        <f aca="false">'Balance Sheet'!C15</f>
        <v>10.2</v>
      </c>
      <c r="D7" s="42" t="n">
        <f aca="false">'Balance Sheet'!D15</f>
        <v>10.59648</v>
      </c>
      <c r="E7" s="42" t="n">
        <f aca="false">'Balance Sheet'!E15</f>
        <v>11.0426112</v>
      </c>
      <c r="F7" s="42" t="n">
        <f aca="false">'Balance Sheet'!F15</f>
        <v>11.4927499008</v>
      </c>
      <c r="G7" s="42" t="n">
        <f aca="false">'Balance Sheet'!G15</f>
        <v>11.938487976192</v>
      </c>
    </row>
    <row r="8" customFormat="false" ht="15" hidden="false" customHeight="false" outlineLevel="0" collapsed="false">
      <c r="A8" s="17" t="s">
        <v>203</v>
      </c>
      <c r="C8" s="42" t="n">
        <f aca="false">'Balance Sheet'!C10</f>
        <v>-3.90575342465753</v>
      </c>
      <c r="D8" s="42" t="n">
        <f aca="false">'Balance Sheet'!D10</f>
        <v>-4.41673293150687</v>
      </c>
      <c r="E8" s="42" t="n">
        <f aca="false">'Balance Sheet'!E10</f>
        <v>-4.67703085589039</v>
      </c>
      <c r="F8" s="42" t="n">
        <f aca="false">'Balance Sheet'!F10</f>
        <v>-4.57687039298629</v>
      </c>
      <c r="G8" s="42" t="n">
        <f aca="false">'Balance Sheet'!G10</f>
        <v>-4.42950431175893</v>
      </c>
    </row>
    <row r="9" customFormat="false" ht="15" hidden="false" customHeight="false" outlineLevel="0" collapsed="false">
      <c r="A9" s="17" t="s">
        <v>204</v>
      </c>
      <c r="C9" s="42" t="n">
        <f aca="false">-'Balance Sheet'!C14</f>
        <v>-13.504</v>
      </c>
      <c r="D9" s="42" t="n">
        <f aca="false">-'Balance Sheet'!D14</f>
        <v>-14.31424</v>
      </c>
      <c r="E9" s="42" t="n">
        <f aca="false">-'Balance Sheet'!E14</f>
        <v>-14.79376704</v>
      </c>
      <c r="F9" s="42" t="n">
        <f aca="false">-'Balance Sheet'!F14</f>
        <v>-15.2072338624</v>
      </c>
      <c r="G9" s="42" t="n">
        <f aca="false">-'Balance Sheet'!G14</f>
        <v>-15.96759555552</v>
      </c>
    </row>
    <row r="10" customFormat="false" ht="15" hidden="false" customHeight="false" outlineLevel="0" collapsed="false">
      <c r="A10" s="8" t="s">
        <v>205</v>
      </c>
      <c r="B10" s="43"/>
      <c r="C10" s="33" t="n">
        <f aca="false">SUM(C6:C9)</f>
        <v>12.7351465753424</v>
      </c>
      <c r="D10" s="33" t="n">
        <f aca="false">SUM(D6:D9)</f>
        <v>16.1634246626712</v>
      </c>
      <c r="E10" s="33" t="n">
        <f aca="false">SUM(E6:E9)</f>
        <v>20.698787620533</v>
      </c>
      <c r="F10" s="33" t="n">
        <f aca="false">SUM(F6:F9)</f>
        <v>25.390827378246</v>
      </c>
      <c r="G10" s="33" t="n">
        <f aca="false">SUM(G6:G9)</f>
        <v>29.7044520694046</v>
      </c>
    </row>
    <row r="12" customFormat="false" ht="15" hidden="false" customHeight="false" outlineLevel="0" collapsed="false">
      <c r="A12" s="13" t="s">
        <v>206</v>
      </c>
      <c r="B12" s="44"/>
      <c r="C12" s="44"/>
      <c r="D12" s="44"/>
      <c r="E12" s="44"/>
      <c r="F12" s="44"/>
      <c r="G12" s="44"/>
    </row>
    <row r="13" customFormat="false" ht="15" hidden="false" customHeight="false" outlineLevel="0" collapsed="false">
      <c r="A13" s="17" t="s">
        <v>207</v>
      </c>
      <c r="C13" s="42" t="n">
        <f aca="false">B16</f>
        <v>290</v>
      </c>
      <c r="D13" s="42" t="n">
        <f aca="false">C16</f>
        <v>277.264853424658</v>
      </c>
      <c r="E13" s="42" t="n">
        <f aca="false">D16</f>
        <v>261.101428761986</v>
      </c>
      <c r="F13" s="42" t="n">
        <f aca="false">E16</f>
        <v>240.402641141453</v>
      </c>
      <c r="G13" s="42" t="n">
        <f aca="false">F16</f>
        <v>215.011813763207</v>
      </c>
    </row>
    <row r="14" customFormat="false" ht="15" hidden="false" customHeight="false" outlineLevel="0" collapsed="false">
      <c r="A14" s="17" t="s">
        <v>208</v>
      </c>
      <c r="C14" s="42" t="n">
        <f aca="false">C13*Assumptions!$B$35</f>
        <v>24.65</v>
      </c>
      <c r="D14" s="42" t="n">
        <f aca="false">D13*Assumptions!$B$35</f>
        <v>23.5675125410959</v>
      </c>
      <c r="E14" s="42" t="n">
        <f aca="false">E13*Assumptions!$B$35</f>
        <v>22.1936214447688</v>
      </c>
      <c r="F14" s="42" t="n">
        <f aca="false">F13*Assumptions!$B$35</f>
        <v>20.4342244970235</v>
      </c>
      <c r="G14" s="42" t="n">
        <f aca="false">G13*Assumptions!$B$35</f>
        <v>18.2760041698726</v>
      </c>
    </row>
    <row r="15" customFormat="false" ht="15" hidden="false" customHeight="false" outlineLevel="0" collapsed="false">
      <c r="A15" s="17" t="s">
        <v>209</v>
      </c>
      <c r="C15" s="42" t="n">
        <f aca="false">-MIN(MAX(C10,0),C13)</f>
        <v>-12.7351465753424</v>
      </c>
      <c r="D15" s="42" t="n">
        <f aca="false">-MIN(MAX(D10,0),D13)</f>
        <v>-16.1634246626712</v>
      </c>
      <c r="E15" s="42" t="n">
        <f aca="false">-MIN(MAX(E10,0),E13)</f>
        <v>-20.698787620533</v>
      </c>
      <c r="F15" s="42" t="n">
        <f aca="false">-MIN(MAX(F10,0),F13)</f>
        <v>-25.390827378246</v>
      </c>
      <c r="G15" s="42" t="n">
        <f aca="false">-MIN(MAX(G10,0),G13)</f>
        <v>-29.7044520694046</v>
      </c>
    </row>
    <row r="16" customFormat="false" ht="15" hidden="false" customHeight="false" outlineLevel="0" collapsed="false">
      <c r="A16" s="8" t="s">
        <v>210</v>
      </c>
      <c r="B16" s="33" t="n">
        <f aca="false">'Sources &amp; Uses'!B16</f>
        <v>290</v>
      </c>
      <c r="C16" s="33" t="n">
        <f aca="false">C13+C15</f>
        <v>277.264853424658</v>
      </c>
      <c r="D16" s="33" t="n">
        <f aca="false">D13+D15</f>
        <v>261.101428761986</v>
      </c>
      <c r="E16" s="33" t="n">
        <f aca="false">E13+E15</f>
        <v>240.402641141453</v>
      </c>
      <c r="F16" s="33" t="n">
        <f aca="false">F13+F15</f>
        <v>215.011813763207</v>
      </c>
      <c r="G16" s="33" t="n">
        <f aca="false">G13+G15</f>
        <v>185.307361693803</v>
      </c>
    </row>
    <row r="17" customFormat="false" ht="15" hidden="false" customHeight="false" outlineLevel="0" collapsed="false">
      <c r="A17" s="17" t="s">
        <v>211</v>
      </c>
      <c r="C17" s="48" t="n">
        <f aca="false">C16/'Income Statement'!E11</f>
        <v>4.51253927895451</v>
      </c>
      <c r="D17" s="48" t="n">
        <f aca="false">D16/'Income Statement'!F11</f>
        <v>3.92272624289175</v>
      </c>
      <c r="E17" s="48" t="n">
        <f aca="false">E16/'Income Statement'!G11</f>
        <v>3.33558079923164</v>
      </c>
      <c r="F17" s="48" t="n">
        <f aca="false">F16/'Income Statement'!H11</f>
        <v>2.79830124656557</v>
      </c>
      <c r="G17" s="48" t="n">
        <f aca="false">G16/'Income Statement'!I11</f>
        <v>2.28496439239326</v>
      </c>
    </row>
    <row r="19" customFormat="false" ht="15" hidden="false" customHeight="true" outlineLevel="0" collapsed="false">
      <c r="A19" s="38" t="s">
        <v>212</v>
      </c>
      <c r="B19" s="38"/>
      <c r="C19" s="38"/>
      <c r="D19" s="38"/>
      <c r="E19" s="38"/>
      <c r="F19" s="38"/>
      <c r="G19" s="38"/>
      <c r="H19" s="38"/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38"/>
      <c r="G20" s="38"/>
      <c r="H20" s="38"/>
    </row>
  </sheetData>
  <mergeCells count="3">
    <mergeCell ref="A1:G1"/>
    <mergeCell ref="A2:H2"/>
    <mergeCell ref="A19:H2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</cols>
  <sheetData>
    <row r="1" customFormat="false" ht="21.75" hidden="false" customHeight="true" outlineLevel="0" collapsed="false">
      <c r="A1" s="12" t="s">
        <v>213</v>
      </c>
      <c r="B1" s="12"/>
      <c r="C1" s="12"/>
      <c r="D1" s="12"/>
      <c r="E1" s="12"/>
      <c r="F1" s="12"/>
      <c r="G1" s="12"/>
    </row>
    <row r="2" customFormat="false" ht="15" hidden="false" customHeight="false" outlineLevel="0" collapsed="false">
      <c r="A2" s="28" t="s">
        <v>214</v>
      </c>
      <c r="B2" s="28"/>
      <c r="C2" s="28"/>
      <c r="D2" s="28"/>
      <c r="E2" s="28"/>
      <c r="F2" s="28"/>
      <c r="G2" s="28"/>
    </row>
    <row r="4" customFormat="false" ht="15" hidden="false" customHeight="false" outlineLevel="0" collapsed="false">
      <c r="A4" s="13" t="s">
        <v>168</v>
      </c>
      <c r="B4" s="44"/>
      <c r="C4" s="44"/>
      <c r="D4" s="44"/>
      <c r="E4" s="44"/>
      <c r="F4" s="44"/>
      <c r="G4" s="44"/>
    </row>
    <row r="5" customFormat="false" ht="15" hidden="false" customHeight="false" outlineLevel="0" collapsed="false">
      <c r="A5" s="17" t="s">
        <v>215</v>
      </c>
      <c r="B5" s="42" t="n">
        <f aca="false">'Sources &amp; Uses'!B7</f>
        <v>522</v>
      </c>
    </row>
    <row r="6" customFormat="false" ht="15" hidden="false" customHeight="false" outlineLevel="0" collapsed="false">
      <c r="A6" s="17" t="s">
        <v>216</v>
      </c>
      <c r="B6" s="42" t="n">
        <f aca="false">-'Sources &amp; Uses'!B16</f>
        <v>-290</v>
      </c>
    </row>
    <row r="7" customFormat="false" ht="15" hidden="false" customHeight="false" outlineLevel="0" collapsed="false">
      <c r="A7" s="8" t="s">
        <v>217</v>
      </c>
      <c r="B7" s="36" t="n">
        <f aca="false">B5+B6</f>
        <v>232</v>
      </c>
      <c r="C7" s="3" t="s">
        <v>218</v>
      </c>
    </row>
    <row r="8" customFormat="false" ht="15" hidden="false" customHeight="false" outlineLevel="0" collapsed="false">
      <c r="A8" s="17" t="s">
        <v>219</v>
      </c>
      <c r="B8" s="42" t="n">
        <f aca="false">'Sources &amp; Uses'!B11+'Sources &amp; Uses'!B12</f>
        <v>18.85</v>
      </c>
      <c r="C8" s="3" t="s">
        <v>220</v>
      </c>
    </row>
    <row r="9" customFormat="false" ht="15" hidden="false" customHeight="false" outlineLevel="0" collapsed="false">
      <c r="A9" s="8" t="s">
        <v>221</v>
      </c>
      <c r="B9" s="36" t="n">
        <f aca="false">B7+B8</f>
        <v>250.85</v>
      </c>
      <c r="C9" s="3" t="s">
        <v>222</v>
      </c>
    </row>
    <row r="11" customFormat="false" ht="15" hidden="false" customHeight="false" outlineLevel="0" collapsed="false">
      <c r="A11" s="13" t="s">
        <v>223</v>
      </c>
      <c r="B11" s="44"/>
      <c r="C11" s="44"/>
      <c r="D11" s="44"/>
      <c r="E11" s="44"/>
      <c r="F11" s="44"/>
      <c r="G11" s="44"/>
    </row>
    <row r="12" customFormat="false" ht="15" hidden="false" customHeight="false" outlineLevel="0" collapsed="false">
      <c r="A12" s="17" t="s">
        <v>224</v>
      </c>
      <c r="B12" s="42" t="n">
        <f aca="false">'Income Statement'!I11</f>
        <v>81.09857742672</v>
      </c>
    </row>
    <row r="13" customFormat="false" ht="15" hidden="false" customHeight="false" outlineLevel="0" collapsed="false">
      <c r="A13" s="17" t="s">
        <v>225</v>
      </c>
      <c r="B13" s="45" t="n">
        <f aca="false">Assumptions!B36</f>
        <v>9</v>
      </c>
      <c r="C13" s="3" t="s">
        <v>226</v>
      </c>
    </row>
    <row r="14" customFormat="false" ht="15" hidden="false" customHeight="false" outlineLevel="0" collapsed="false">
      <c r="A14" s="8" t="s">
        <v>227</v>
      </c>
      <c r="B14" s="36" t="n">
        <f aca="false">B12*B13</f>
        <v>729.88719684048</v>
      </c>
    </row>
    <row r="15" customFormat="false" ht="15" hidden="false" customHeight="false" outlineLevel="0" collapsed="false">
      <c r="A15" s="17" t="s">
        <v>228</v>
      </c>
      <c r="B15" s="42" t="n">
        <f aca="false">-'Debt Schedule'!G16</f>
        <v>-185.307361693803</v>
      </c>
      <c r="C15" s="3" t="s">
        <v>229</v>
      </c>
    </row>
    <row r="16" customFormat="false" ht="15" hidden="false" customHeight="false" outlineLevel="0" collapsed="false">
      <c r="A16" s="8" t="s">
        <v>230</v>
      </c>
      <c r="B16" s="36" t="n">
        <f aca="false">B14+B15</f>
        <v>544.579835146677</v>
      </c>
    </row>
    <row r="18" customFormat="false" ht="15" hidden="false" customHeight="false" outlineLevel="0" collapsed="false">
      <c r="A18" s="13" t="s">
        <v>231</v>
      </c>
      <c r="B18" s="44"/>
      <c r="C18" s="44"/>
      <c r="D18" s="44"/>
      <c r="E18" s="44"/>
      <c r="F18" s="44"/>
      <c r="G18" s="44"/>
    </row>
    <row r="19" customFormat="false" ht="15" hidden="false" customHeight="false" outlineLevel="0" collapsed="false">
      <c r="A19" s="8" t="s">
        <v>232</v>
      </c>
      <c r="B19" s="49" t="n">
        <f aca="false">B16/B9</f>
        <v>2.17093815087374</v>
      </c>
      <c r="C19" s="3" t="s">
        <v>233</v>
      </c>
    </row>
    <row r="20" customFormat="false" ht="15" hidden="false" customHeight="false" outlineLevel="0" collapsed="false">
      <c r="A20" s="8" t="s">
        <v>234</v>
      </c>
      <c r="B20" s="50" t="n">
        <f aca="false">B19^(1/Assumptions!B37)-1</f>
        <v>0.167695187035355</v>
      </c>
      <c r="C20" s="3" t="s">
        <v>235</v>
      </c>
    </row>
    <row r="22" customFormat="false" ht="15" hidden="false" customHeight="false" outlineLevel="0" collapsed="false">
      <c r="A22" s="13" t="s">
        <v>236</v>
      </c>
      <c r="B22" s="44"/>
      <c r="C22" s="44"/>
      <c r="D22" s="44"/>
      <c r="E22" s="44"/>
      <c r="F22" s="44"/>
      <c r="G22" s="44"/>
    </row>
    <row r="24" customFormat="false" ht="15" hidden="false" customHeight="false" outlineLevel="0" collapsed="false">
      <c r="A24" s="17" t="s">
        <v>237</v>
      </c>
      <c r="B24" s="42" t="n">
        <f aca="false">B7</f>
        <v>232</v>
      </c>
      <c r="D24" s="51" t="s">
        <v>238</v>
      </c>
    </row>
    <row r="25" customFormat="false" ht="15" hidden="false" customHeight="false" outlineLevel="0" collapsed="false">
      <c r="A25" s="17" t="s">
        <v>239</v>
      </c>
      <c r="B25" s="42" t="n">
        <f aca="false">('Income Statement'!I11-Assumptions!D10)*Assumptions!B33</f>
        <v>207.88719684048</v>
      </c>
      <c r="C25" s="3" t="s">
        <v>240</v>
      </c>
      <c r="D25" s="52" t="n">
        <f aca="false">B25/(B28-B24)</f>
        <v>0.665069123038373</v>
      </c>
    </row>
    <row r="26" customFormat="false" ht="15" hidden="false" customHeight="false" outlineLevel="0" collapsed="false">
      <c r="A26" s="17" t="s">
        <v>241</v>
      </c>
      <c r="B26" s="42" t="n">
        <f aca="false">(Assumptions!B36-Assumptions!B33)*'Income Statement'!I11</f>
        <v>0</v>
      </c>
      <c r="C26" s="3" t="s">
        <v>242</v>
      </c>
      <c r="D26" s="52" t="n">
        <f aca="false">B26/(B28-B24)</f>
        <v>0</v>
      </c>
    </row>
    <row r="27" customFormat="false" ht="15" hidden="false" customHeight="false" outlineLevel="0" collapsed="false">
      <c r="A27" s="17" t="s">
        <v>243</v>
      </c>
      <c r="B27" s="42" t="n">
        <f aca="false">'Sources &amp; Uses'!B16-'Debt Schedule'!G16</f>
        <v>104.692638306197</v>
      </c>
      <c r="C27" s="3" t="s">
        <v>244</v>
      </c>
      <c r="D27" s="52" t="n">
        <f aca="false">B27/(B28-B24)</f>
        <v>0.334930876961627</v>
      </c>
    </row>
    <row r="28" customFormat="false" ht="15" hidden="false" customHeight="false" outlineLevel="0" collapsed="false">
      <c r="A28" s="8" t="s">
        <v>245</v>
      </c>
      <c r="B28" s="36" t="n">
        <f aca="false">SUM(B24:B27)</f>
        <v>544.579835146677</v>
      </c>
    </row>
    <row r="29" customFormat="false" ht="15" hidden="false" customHeight="false" outlineLevel="0" collapsed="false">
      <c r="A29" s="17" t="s">
        <v>246</v>
      </c>
      <c r="B29" s="42" t="n">
        <f aca="false">B28-B16</f>
        <v>0</v>
      </c>
      <c r="C29" s="3" t="s">
        <v>247</v>
      </c>
    </row>
    <row r="31" customFormat="false" ht="15" hidden="false" customHeight="false" outlineLevel="0" collapsed="false">
      <c r="A31" s="13" t="s">
        <v>248</v>
      </c>
      <c r="B31" s="44"/>
      <c r="C31" s="44"/>
      <c r="D31" s="44"/>
      <c r="E31" s="44"/>
      <c r="F31" s="44"/>
      <c r="G31" s="44"/>
    </row>
    <row r="32" customFormat="false" ht="15" hidden="false" customHeight="false" outlineLevel="0" collapsed="false">
      <c r="A32" s="53" t="s">
        <v>249</v>
      </c>
      <c r="B32" s="54" t="n">
        <v>8</v>
      </c>
      <c r="C32" s="54" t="n">
        <v>8.5</v>
      </c>
      <c r="D32" s="54" t="n">
        <v>9</v>
      </c>
      <c r="E32" s="54" t="n">
        <v>9.5</v>
      </c>
      <c r="F32" s="54" t="n">
        <v>10</v>
      </c>
    </row>
    <row r="33" customFormat="false" ht="15" hidden="false" customHeight="false" outlineLevel="0" collapsed="false">
      <c r="A33" s="55" t="n">
        <v>8</v>
      </c>
      <c r="B33" s="56" t="n">
        <f aca="false">('Income Statement'!I11*B$32-'Debt Schedule'!G16)/($A33*Assumptions!D10*(1+Assumptions!$B$38)+Assumptions!$B$39*'Sources &amp; Uses'!B16-'Sources &amp; Uses'!B16)</f>
        <v>2.4215321719956</v>
      </c>
      <c r="C33" s="56" t="n">
        <f aca="false">('Income Statement'!I11*C$32-'Debt Schedule'!G16)/($A33*Assumptions!D10*(1+Assumptions!$B$38)+Assumptions!$B$39*'Sources &amp; Uses'!B16-'Sources &amp; Uses'!B16)</f>
        <v>2.63338843486582</v>
      </c>
      <c r="D33" s="56" t="n">
        <f aca="false">('Income Statement'!I11*D$32-'Debt Schedule'!G16)/($A33*Assumptions!D10*(1+Assumptions!$B$38)+Assumptions!$B$39*'Sources &amp; Uses'!B16-'Sources &amp; Uses'!B16)</f>
        <v>2.84524469773604</v>
      </c>
      <c r="E33" s="56" t="n">
        <f aca="false">('Income Statement'!I11*E$32-'Debt Schedule'!G16)/($A33*Assumptions!D10*(1+Assumptions!$B$38)+Assumptions!$B$39*'Sources &amp; Uses'!B16-'Sources &amp; Uses'!B16)</f>
        <v>3.05710096060626</v>
      </c>
      <c r="F33" s="56" t="n">
        <f aca="false">('Income Statement'!I11*F$32-'Debt Schedule'!G16)/($A33*Assumptions!D10*(1+Assumptions!$B$38)+Assumptions!$B$39*'Sources &amp; Uses'!B16-'Sources &amp; Uses'!B16)</f>
        <v>3.26895722347648</v>
      </c>
    </row>
    <row r="34" customFormat="false" ht="15" hidden="false" customHeight="false" outlineLevel="0" collapsed="false">
      <c r="A34" s="55" t="n">
        <v>8.5</v>
      </c>
      <c r="B34" s="56" t="n">
        <f aca="false">('Income Statement'!I11*B$32-'Debt Schedule'!G16)/($A34*Assumptions!D10*(1+Assumptions!$B$38)+Assumptions!$B$39*'Sources &amp; Uses'!B16-'Sources &amp; Uses'!B16)</f>
        <v>2.09601473248144</v>
      </c>
      <c r="C34" s="56" t="n">
        <f aca="false">('Income Statement'!I11*C$32-'Debt Schedule'!G16)/($A34*Assumptions!D10*(1+Assumptions!$B$38)+Assumptions!$B$39*'Sources &amp; Uses'!B16-'Sources &amp; Uses'!B16)</f>
        <v>2.27939195673631</v>
      </c>
      <c r="D34" s="56" t="n">
        <f aca="false">('Income Statement'!I11*D$32-'Debt Schedule'!G16)/($A34*Assumptions!D10*(1+Assumptions!$B$38)+Assumptions!$B$39*'Sources &amp; Uses'!B16-'Sources &amp; Uses'!B16)</f>
        <v>2.46276918099119</v>
      </c>
      <c r="E34" s="56" t="n">
        <f aca="false">('Income Statement'!I11*E$32-'Debt Schedule'!G16)/($A34*Assumptions!D10*(1+Assumptions!$B$38)+Assumptions!$B$39*'Sources &amp; Uses'!B16-'Sources &amp; Uses'!B16)</f>
        <v>2.64614640524607</v>
      </c>
      <c r="F34" s="56" t="n">
        <f aca="false">('Income Statement'!I11*F$32-'Debt Schedule'!G16)/($A34*Assumptions!D10*(1+Assumptions!$B$38)+Assumptions!$B$39*'Sources &amp; Uses'!B16-'Sources &amp; Uses'!B16)</f>
        <v>2.82952362950095</v>
      </c>
    </row>
    <row r="35" customFormat="false" ht="15" hidden="false" customHeight="false" outlineLevel="0" collapsed="false">
      <c r="A35" s="55" t="n">
        <v>9</v>
      </c>
      <c r="B35" s="56" t="n">
        <f aca="false">('Income Statement'!I11*B$32-'Debt Schedule'!G16)/($A35*Assumptions!D10*(1+Assumptions!$B$38)+Assumptions!$B$39*'Sources &amp; Uses'!B16-'Sources &amp; Uses'!B16)</f>
        <v>1.84764304452843</v>
      </c>
      <c r="C35" s="56" t="n">
        <f aca="false">('Income Statement'!I11*C$32-'Debt Schedule'!G16)/($A35*Assumptions!D10*(1+Assumptions!$B$38)+Assumptions!$B$39*'Sources &amp; Uses'!B16-'Sources &amp; Uses'!B16)</f>
        <v>2.00929059770109</v>
      </c>
      <c r="D35" s="57" t="n">
        <f aca="false">('Income Statement'!I11*D$32-'Debt Schedule'!G16)/($A35*Assumptions!D10*(1+Assumptions!$B$38)+Assumptions!$B$39*'Sources &amp; Uses'!B16-'Sources &amp; Uses'!B16)</f>
        <v>2.17093815087374</v>
      </c>
      <c r="E35" s="56" t="n">
        <f aca="false">('Income Statement'!I11*E$32-'Debt Schedule'!G16)/($A35*Assumptions!D10*(1+Assumptions!$B$38)+Assumptions!$B$39*'Sources &amp; Uses'!B16-'Sources &amp; Uses'!B16)</f>
        <v>2.33258570404639</v>
      </c>
      <c r="F35" s="56" t="n">
        <f aca="false">('Income Statement'!I11*F$32-'Debt Schedule'!G16)/($A35*Assumptions!D10*(1+Assumptions!$B$38)+Assumptions!$B$39*'Sources &amp; Uses'!B16-'Sources &amp; Uses'!B16)</f>
        <v>2.49423325721905</v>
      </c>
    </row>
    <row r="36" customFormat="false" ht="15" hidden="false" customHeight="false" outlineLevel="0" collapsed="false">
      <c r="A36" s="55" t="n">
        <v>9.5</v>
      </c>
      <c r="B36" s="56" t="n">
        <f aca="false">('Income Statement'!I11*B$32-'Debt Schedule'!G16)/($A36*Assumptions!D10*(1+Assumptions!$B$38)+Assumptions!$B$39*'Sources &amp; Uses'!B16-'Sources &amp; Uses'!B16)</f>
        <v>1.65189791577994</v>
      </c>
      <c r="C36" s="56" t="n">
        <f aca="false">('Income Statement'!I11*C$32-'Debt Schedule'!G16)/($A36*Assumptions!D10*(1+Assumptions!$B$38)+Assumptions!$B$39*'Sources &amp; Uses'!B16-'Sources &amp; Uses'!B16)</f>
        <v>1.79642001758288</v>
      </c>
      <c r="D36" s="56" t="n">
        <f aca="false">('Income Statement'!I11*D$32-'Debt Schedule'!G16)/($A36*Assumptions!D10*(1+Assumptions!$B$38)+Assumptions!$B$39*'Sources &amp; Uses'!B16-'Sources &amp; Uses'!B16)</f>
        <v>1.94094211938582</v>
      </c>
      <c r="E36" s="56" t="n">
        <f aca="false">('Income Statement'!I11*E$32-'Debt Schedule'!G16)/($A36*Assumptions!D10*(1+Assumptions!$B$38)+Assumptions!$B$39*'Sources &amp; Uses'!B16-'Sources &amp; Uses'!B16)</f>
        <v>2.08546422118876</v>
      </c>
      <c r="F36" s="56" t="n">
        <f aca="false">('Income Statement'!I11*F$32-'Debt Schedule'!G16)/($A36*Assumptions!D10*(1+Assumptions!$B$38)+Assumptions!$B$39*'Sources &amp; Uses'!B16-'Sources &amp; Uses'!B16)</f>
        <v>2.2299863229917</v>
      </c>
    </row>
    <row r="37" customFormat="false" ht="15" hidden="false" customHeight="false" outlineLevel="0" collapsed="false">
      <c r="A37" s="55" t="n">
        <v>10</v>
      </c>
      <c r="B37" s="56" t="n">
        <f aca="false">('Income Statement'!I11*B$32-'Debt Schedule'!G16)/($A37*Assumptions!D10*(1+Assumptions!$B$38)+Assumptions!$B$39*'Sources &amp; Uses'!B16-'Sources &amp; Uses'!B16)</f>
        <v>1.49365535842719</v>
      </c>
      <c r="C37" s="56" t="n">
        <f aca="false">('Income Statement'!I11*C$32-'Debt Schedule'!G16)/($A37*Assumptions!D10*(1+Assumptions!$B$38)+Assumptions!$B$39*'Sources &amp; Uses'!B16-'Sources &amp; Uses'!B16)</f>
        <v>1.62433305328172</v>
      </c>
      <c r="D37" s="56" t="n">
        <f aca="false">('Income Statement'!I11*D$32-'Debt Schedule'!G16)/($A37*Assumptions!D10*(1+Assumptions!$B$38)+Assumptions!$B$39*'Sources &amp; Uses'!B16-'Sources &amp; Uses'!B16)</f>
        <v>1.75501074813625</v>
      </c>
      <c r="E37" s="56" t="n">
        <f aca="false">('Income Statement'!I11*E$32-'Debt Schedule'!G16)/($A37*Assumptions!D10*(1+Assumptions!$B$38)+Assumptions!$B$39*'Sources &amp; Uses'!B16-'Sources &amp; Uses'!B16)</f>
        <v>1.88568844299077</v>
      </c>
      <c r="F37" s="56" t="n">
        <f aca="false">('Income Statement'!I11*F$32-'Debt Schedule'!G16)/($A37*Assumptions!D10*(1+Assumptions!$B$38)+Assumptions!$B$39*'Sources &amp; Uses'!B16-'Sources &amp; Uses'!B16)</f>
        <v>2.0163661378453</v>
      </c>
    </row>
    <row r="40" customFormat="false" ht="15" hidden="false" customHeight="false" outlineLevel="0" collapsed="false">
      <c r="A40" s="13" t="s">
        <v>250</v>
      </c>
      <c r="B40" s="44"/>
      <c r="C40" s="44"/>
      <c r="D40" s="44"/>
      <c r="E40" s="44"/>
      <c r="F40" s="44"/>
      <c r="G40" s="44"/>
    </row>
    <row r="41" customFormat="false" ht="15" hidden="false" customHeight="false" outlineLevel="0" collapsed="false">
      <c r="A41" s="53" t="s">
        <v>249</v>
      </c>
      <c r="B41" s="54" t="n">
        <v>8</v>
      </c>
      <c r="C41" s="54" t="n">
        <v>8.5</v>
      </c>
      <c r="D41" s="54" t="n">
        <v>9</v>
      </c>
      <c r="E41" s="54" t="n">
        <v>9.5</v>
      </c>
      <c r="F41" s="54" t="n">
        <v>10</v>
      </c>
    </row>
    <row r="42" customFormat="false" ht="15" hidden="false" customHeight="false" outlineLevel="0" collapsed="false">
      <c r="A42" s="55" t="n">
        <v>8</v>
      </c>
      <c r="B42" s="20" t="n">
        <f aca="false">B33^(1/Assumptions!B37)-1</f>
        <v>0.193487977879456</v>
      </c>
      <c r="C42" s="20" t="n">
        <f aca="false">C33^(1/Assumptions!B37)-1</f>
        <v>0.2136766169761</v>
      </c>
      <c r="D42" s="20" t="n">
        <f aca="false">D33^(1/Assumptions!B37)-1</f>
        <v>0.232604998424679</v>
      </c>
      <c r="E42" s="20" t="n">
        <f aca="false">E33^(1/Assumptions!B37)-1</f>
        <v>0.250437404469457</v>
      </c>
      <c r="F42" s="20" t="n">
        <f aca="false">F33^(1/Assumptions!B37)-1</f>
        <v>0.267307040281585</v>
      </c>
    </row>
    <row r="43" customFormat="false" ht="15" hidden="false" customHeight="false" outlineLevel="0" collapsed="false">
      <c r="A43" s="55" t="n">
        <v>8.5</v>
      </c>
      <c r="B43" s="20" t="n">
        <f aca="false">B34^(1/Assumptions!B37)-1</f>
        <v>0.159521661221276</v>
      </c>
      <c r="C43" s="20" t="n">
        <f aca="false">C34^(1/Assumptions!B37)-1</f>
        <v>0.17913573758988</v>
      </c>
      <c r="D43" s="20" t="n">
        <f aca="false">D34^(1/Assumptions!B37)-1</f>
        <v>0.197525422872242</v>
      </c>
      <c r="E43" s="20" t="n">
        <f aca="false">E34^(1/Assumptions!B37)-1</f>
        <v>0.214850323888297</v>
      </c>
      <c r="F43" s="20" t="n">
        <f aca="false">F34^(1/Assumptions!B37)-1</f>
        <v>0.231239854829221</v>
      </c>
    </row>
    <row r="44" customFormat="false" ht="15" hidden="false" customHeight="false" outlineLevel="0" collapsed="false">
      <c r="A44" s="55" t="n">
        <v>9</v>
      </c>
      <c r="B44" s="20" t="n">
        <f aca="false">B35^(1/Assumptions!B37)-1</f>
        <v>0.130638095201234</v>
      </c>
      <c r="C44" s="20" t="n">
        <f aca="false">C35^(1/Assumptions!B37)-1</f>
        <v>0.149763586933033</v>
      </c>
      <c r="D44" s="58" t="n">
        <f aca="false">D35^(1/Assumptions!B37)-1</f>
        <v>0.167695187035355</v>
      </c>
      <c r="E44" s="20" t="n">
        <f aca="false">E35^(1/Assumptions!B37)-1</f>
        <v>0.184588526538569</v>
      </c>
      <c r="F44" s="20" t="n">
        <f aca="false">F35^(1/Assumptions!B37)-1</f>
        <v>0.200569795939584</v>
      </c>
    </row>
    <row r="45" customFormat="false" ht="15" hidden="false" customHeight="false" outlineLevel="0" collapsed="false">
      <c r="A45" s="55" t="n">
        <v>9.5</v>
      </c>
      <c r="B45" s="20" t="n">
        <f aca="false">B36^(1/Assumptions!B37)-1</f>
        <v>0.105596464011837</v>
      </c>
      <c r="C45" s="20" t="n">
        <f aca="false">C36^(1/Assumptions!B37)-1</f>
        <v>0.124298359977408</v>
      </c>
      <c r="D45" s="20" t="n">
        <f aca="false">D36^(1/Assumptions!B37)-1</f>
        <v>0.141832806898439</v>
      </c>
      <c r="E45" s="20" t="n">
        <f aca="false">E36^(1/Assumptions!B37)-1</f>
        <v>0.158351988853635</v>
      </c>
      <c r="F45" s="20" t="n">
        <f aca="false">F36^(1/Assumptions!B37)-1</f>
        <v>0.173979301443909</v>
      </c>
    </row>
    <row r="46" customFormat="false" ht="15" hidden="false" customHeight="false" outlineLevel="0" collapsed="false">
      <c r="A46" s="55" t="n">
        <v>10</v>
      </c>
      <c r="B46" s="20" t="n">
        <f aca="false">B37^(1/Assumptions!B37)-1</f>
        <v>0.0835528037833786</v>
      </c>
      <c r="C46" s="20" t="n">
        <f aca="false">C37^(1/Assumptions!B37)-1</f>
        <v>0.101881816645835</v>
      </c>
      <c r="D46" s="20" t="n">
        <f aca="false">D37^(1/Assumptions!B37)-1</f>
        <v>0.119066657356279</v>
      </c>
      <c r="E46" s="20" t="n">
        <f aca="false">E37^(1/Assumptions!B37)-1</f>
        <v>0.135256475708999</v>
      </c>
      <c r="F46" s="20" t="n">
        <f aca="false">F37^(1/Assumptions!B37)-1</f>
        <v>0.150572207012396</v>
      </c>
    </row>
    <row r="48" customFormat="false" ht="15" hidden="false" customHeight="true" outlineLevel="0" collapsed="false">
      <c r="A48" s="38" t="s">
        <v>251</v>
      </c>
      <c r="B48" s="38"/>
      <c r="C48" s="38"/>
      <c r="D48" s="38"/>
      <c r="E48" s="38"/>
      <c r="F48" s="38"/>
      <c r="G48" s="38"/>
    </row>
    <row r="49" customFormat="false" ht="15" hidden="false" customHeight="false" outlineLevel="0" collapsed="false">
      <c r="A49" s="38"/>
      <c r="B49" s="38"/>
      <c r="C49" s="38"/>
      <c r="D49" s="38"/>
      <c r="E49" s="38"/>
      <c r="F49" s="38"/>
      <c r="G49" s="38"/>
    </row>
  </sheetData>
  <mergeCells count="3">
    <mergeCell ref="A1:G1"/>
    <mergeCell ref="A2:G2"/>
    <mergeCell ref="A48:G4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2026-08-23T19:38:40Z</dcterms:created>
  <dc:creator>openpyxl</dc:creator>
  <dc:description/>
  <dc:language>en-US</dc:language>
  <cp:lastModifiedBy/>
  <dcterms:modified xsi:type="dcterms:W3CDTF">2026-08-23T19:38:40Z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